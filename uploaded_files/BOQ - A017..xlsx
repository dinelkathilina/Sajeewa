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24226"/>
  <mc:AlternateContent xmlns:mc="http://schemas.openxmlformats.org/markup-compatibility/2006">
    <mc:Choice Requires="x15">
      <x15ac:absPath xmlns:x15ac="http://schemas.microsoft.com/office/spreadsheetml/2010/11/ac" url="D:\Rajitha\Old Pc Partition\RAJITHA AQS\Rajitha-AQS\"/>
    </mc:Choice>
  </mc:AlternateContent>
  <xr:revisionPtr revIDLastSave="0" documentId="13_ncr:1000001_{4D57C191-CBBC-D94B-9EDE-A4C0EA3FF51C}" xr6:coauthVersionLast="47" xr6:coauthVersionMax="47" xr10:uidLastSave="{00000000-0000-0000-0000-000000000000}"/>
  <bookViews>
    <workbookView xWindow="-120" yWindow="-120" windowWidth="20730" windowHeight="11160" firstSheet="5" activeTab="11" xr2:uid="{00000000-000D-0000-FFFF-FFFF00000000}"/>
  </bookViews>
  <sheets>
    <sheet name="Application" sheetId="13" r:id="rId1"/>
    <sheet name="GS" sheetId="2" r:id="rId2"/>
    <sheet name="Mat @ Site (2)" sheetId="15" state="hidden" r:id="rId3"/>
    <sheet name="Bill 1" sheetId="1" r:id="rId4"/>
    <sheet name="Bill 2" sheetId="3" r:id="rId5"/>
    <sheet name="Bill 3" sheetId="4" r:id="rId6"/>
    <sheet name="Bill 4" sheetId="5" r:id="rId7"/>
    <sheet name="Bill 5" sheetId="6" r:id="rId8"/>
    <sheet name="Bill 6" sheetId="7" r:id="rId9"/>
    <sheet name="Bill 7" sheetId="8" r:id="rId10"/>
    <sheet name="Bill 8.1" sheetId="9" r:id="rId11"/>
    <sheet name="Bill 8.2" sheetId="10" r:id="rId12"/>
    <sheet name="Bill 8.3" sheetId="11" r:id="rId13"/>
    <sheet name="Bill 9" sheetId="12" r:id="rId14"/>
    <sheet name="PF" sheetId="14" r:id="rId15"/>
    <sheet name="Bill 6 (2)" sheetId="16"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0" localSheetId="2">#REF!</definedName>
    <definedName name="\0">#REF!</definedName>
    <definedName name="\a" localSheetId="2">#REF!</definedName>
    <definedName name="\a">#REF!</definedName>
    <definedName name="\b" localSheetId="2">#REF!</definedName>
    <definedName name="\b">#REF!</definedName>
    <definedName name="\d" localSheetId="2">#REF!</definedName>
    <definedName name="\d">#REF!</definedName>
    <definedName name="\f" localSheetId="2">#REF!</definedName>
    <definedName name="\f">#REF!</definedName>
    <definedName name="\g" localSheetId="2">#REF!</definedName>
    <definedName name="\g">#REF!</definedName>
    <definedName name="\h" localSheetId="2">#REF!</definedName>
    <definedName name="\h">#REF!</definedName>
    <definedName name="\i" localSheetId="2">#REF!</definedName>
    <definedName name="\i">#REF!</definedName>
    <definedName name="\j" localSheetId="2">#REF!</definedName>
    <definedName name="\j">#REF!</definedName>
    <definedName name="\k" localSheetId="2">#REF!</definedName>
    <definedName name="\k">#REF!</definedName>
    <definedName name="\l" localSheetId="2">#REF!</definedName>
    <definedName name="\l">#REF!</definedName>
    <definedName name="\LARGE" localSheetId="2">#REF!</definedName>
    <definedName name="\LARGE">#REF!</definedName>
    <definedName name="\m" localSheetId="2">#REF!</definedName>
    <definedName name="\m">#REF!</definedName>
    <definedName name="\MIDDLE" localSheetId="2">#REF!</definedName>
    <definedName name="\MIDDLE">#REF!</definedName>
    <definedName name="\n">#N/A</definedName>
    <definedName name="\o">#N/A</definedName>
    <definedName name="\p" localSheetId="2">#REF!</definedName>
    <definedName name="\p">#REF!</definedName>
    <definedName name="\q" localSheetId="2">#REF!</definedName>
    <definedName name="\q">#REF!</definedName>
    <definedName name="\s" localSheetId="2">#REF!</definedName>
    <definedName name="\s">#REF!</definedName>
    <definedName name="\SMALL" localSheetId="2">#REF!</definedName>
    <definedName name="\SMALL">#REF!</definedName>
    <definedName name="\t" localSheetId="2">#REF!</definedName>
    <definedName name="\t">#REF!</definedName>
    <definedName name="\u" localSheetId="2">#REF!</definedName>
    <definedName name="\u">#REF!</definedName>
    <definedName name="\w" localSheetId="2">#REF!</definedName>
    <definedName name="\w">#REF!</definedName>
    <definedName name="\X" localSheetId="2">#REF!</definedName>
    <definedName name="\X">#REF!</definedName>
    <definedName name="\y" localSheetId="2">#REF!</definedName>
    <definedName name="\y">#REF!</definedName>
    <definedName name="\z">#N/A</definedName>
    <definedName name="_\D" localSheetId="2">#REF!</definedName>
    <definedName name="_\D">#REF!</definedName>
    <definedName name="_\X" localSheetId="2">#REF!</definedName>
    <definedName name="_\X">#REF!</definedName>
    <definedName name="____may1" localSheetId="2" hidden="1">{#N/A,#N/A,FALSE,"MARCH"}</definedName>
    <definedName name="____may1" hidden="1">{#N/A,#N/A,FALSE,"MARCH"}</definedName>
    <definedName name="___1.2" localSheetId="2">[1]BOQ!#REF!</definedName>
    <definedName name="___1.2">[1]BOQ!#REF!</definedName>
    <definedName name="___1.3" localSheetId="2">[1]BOQ!#REF!</definedName>
    <definedName name="___1.3">[1]BOQ!#REF!</definedName>
    <definedName name="___1.4" localSheetId="2">[1]BOQ!#REF!</definedName>
    <definedName name="___1.4">[1]BOQ!#REF!</definedName>
    <definedName name="___5A.1" localSheetId="2">[1]BOQ!#REF!</definedName>
    <definedName name="___5A.1">[1]BOQ!#REF!</definedName>
    <definedName name="___5A.2" localSheetId="2">[1]BOQ!#REF!</definedName>
    <definedName name="___5A.2">[1]BOQ!#REF!</definedName>
    <definedName name="___5A.3" localSheetId="2">[1]BOQ!#REF!</definedName>
    <definedName name="___5A.3">[1]BOQ!#REF!</definedName>
    <definedName name="___5B.1" localSheetId="2">[1]BOQ!#REF!</definedName>
    <definedName name="___5B.1">[1]BOQ!#REF!</definedName>
    <definedName name="___5B.2" localSheetId="2">[1]BOQ!#REF!</definedName>
    <definedName name="___5B.2">[1]BOQ!#REF!</definedName>
    <definedName name="___5B.3" localSheetId="2">[1]BOQ!#REF!</definedName>
    <definedName name="___5B.3">[1]BOQ!#REF!</definedName>
    <definedName name="___5B.4" localSheetId="2">[1]BOQ!#REF!</definedName>
    <definedName name="___5B.4">[1]BOQ!#REF!</definedName>
    <definedName name="___6.2" localSheetId="2">[1]BOQ!#REF!</definedName>
    <definedName name="___6.2">[1]BOQ!#REF!</definedName>
    <definedName name="___6.3" localSheetId="2">[1]BOQ!#REF!</definedName>
    <definedName name="___6.3">[1]BOQ!#REF!</definedName>
    <definedName name="___6.4" localSheetId="2">[1]BOQ!#REF!</definedName>
    <definedName name="___6.4">[1]BOQ!#REF!</definedName>
    <definedName name="___may1" localSheetId="2" hidden="1">{#N/A,#N/A,FALSE,"MARCH"}</definedName>
    <definedName name="___may1" hidden="1">{#N/A,#N/A,FALSE,"MARCH"}</definedName>
    <definedName name="__1.2" localSheetId="2">[1]BOQ!#REF!</definedName>
    <definedName name="__1.2">[1]BOQ!#REF!</definedName>
    <definedName name="__1.3" localSheetId="2">[1]BOQ!#REF!</definedName>
    <definedName name="__1.3">[1]BOQ!#REF!</definedName>
    <definedName name="__1.4" localSheetId="2">[1]BOQ!#REF!</definedName>
    <definedName name="__1.4">[1]BOQ!#REF!</definedName>
    <definedName name="__123Graph_ACURRENT" localSheetId="2" hidden="1">[2]FitOutConfCentre!#REF!</definedName>
    <definedName name="__123Graph_ACURRENT" hidden="1">[2]FitOutConfCentre!#REF!</definedName>
    <definedName name="__5A.1" localSheetId="2">[1]BOQ!#REF!</definedName>
    <definedName name="__5A.1">[1]BOQ!#REF!</definedName>
    <definedName name="__5A.2" localSheetId="2">[1]BOQ!#REF!</definedName>
    <definedName name="__5A.2">[1]BOQ!#REF!</definedName>
    <definedName name="__5A.3" localSheetId="2">[1]BOQ!#REF!</definedName>
    <definedName name="__5A.3">[1]BOQ!#REF!</definedName>
    <definedName name="__5B.1" localSheetId="2">[1]BOQ!#REF!</definedName>
    <definedName name="__5B.1">[1]BOQ!#REF!</definedName>
    <definedName name="__5B.2" localSheetId="2">[1]BOQ!#REF!</definedName>
    <definedName name="__5B.2">[1]BOQ!#REF!</definedName>
    <definedName name="__5B.3" localSheetId="2">[1]BOQ!#REF!</definedName>
    <definedName name="__5B.3">[1]BOQ!#REF!</definedName>
    <definedName name="__5B.4" localSheetId="2">[1]BOQ!#REF!</definedName>
    <definedName name="__5B.4">[1]BOQ!#REF!</definedName>
    <definedName name="__6.2" localSheetId="2">[1]BOQ!#REF!</definedName>
    <definedName name="__6.2">[1]BOQ!#REF!</definedName>
    <definedName name="__6.3" localSheetId="2">[1]BOQ!#REF!</definedName>
    <definedName name="__6.3">[1]BOQ!#REF!</definedName>
    <definedName name="__6.4" localSheetId="2">[1]BOQ!#REF!</definedName>
    <definedName name="__6.4">[1]BOQ!#REF!</definedName>
    <definedName name="__DemandLoad">TRUE</definedName>
    <definedName name="__IntlFixup" hidden="1">TRUE</definedName>
    <definedName name="__may1" localSheetId="2" hidden="1">{#N/A,#N/A,FALSE,"MARCH"}</definedName>
    <definedName name="__may1" hidden="1">{#N/A,#N/A,FALSE,"MARCH"}</definedName>
    <definedName name="_1.2" localSheetId="2">[1]BOQ!#REF!</definedName>
    <definedName name="_1.2">[1]BOQ!#REF!</definedName>
    <definedName name="_1.3" localSheetId="2">[1]BOQ!#REF!</definedName>
    <definedName name="_1.3">[1]BOQ!#REF!</definedName>
    <definedName name="_1.4" localSheetId="2">[1]BOQ!#REF!</definedName>
    <definedName name="_1.4">[1]BOQ!#REF!</definedName>
    <definedName name="_10G_0Extract" localSheetId="2">#REF!</definedName>
    <definedName name="_10G_0Extract">#REF!</definedName>
    <definedName name="_1공장" localSheetId="2">#REF!</definedName>
    <definedName name="_1공장">#REF!</definedName>
    <definedName name="_2">#N/A</definedName>
    <definedName name="_2공장" localSheetId="2">#REF!</definedName>
    <definedName name="_2공장">#REF!</definedName>
    <definedName name="_3공장" localSheetId="2">#REF!</definedName>
    <definedName name="_3공장">#REF!</definedName>
    <definedName name="_5A.1" localSheetId="2">[1]BOQ!#REF!</definedName>
    <definedName name="_5A.1">[1]BOQ!#REF!</definedName>
    <definedName name="_5A.2" localSheetId="2">[1]BOQ!#REF!</definedName>
    <definedName name="_5A.2">[1]BOQ!#REF!</definedName>
    <definedName name="_5A.3" localSheetId="2">[1]BOQ!#REF!</definedName>
    <definedName name="_5A.3">[1]BOQ!#REF!</definedName>
    <definedName name="_5B.1" localSheetId="2">[1]BOQ!#REF!</definedName>
    <definedName name="_5B.1">[1]BOQ!#REF!</definedName>
    <definedName name="_5B.2" localSheetId="2">[1]BOQ!#REF!</definedName>
    <definedName name="_5B.2">[1]BOQ!#REF!</definedName>
    <definedName name="_5B.3" localSheetId="2">[1]BOQ!#REF!</definedName>
    <definedName name="_5B.3">[1]BOQ!#REF!</definedName>
    <definedName name="_5B.4" localSheetId="2">[1]BOQ!#REF!</definedName>
    <definedName name="_5B.4">[1]BOQ!#REF!</definedName>
    <definedName name="_6.2" localSheetId="2">[1]BOQ!#REF!</definedName>
    <definedName name="_6.2">[1]BOQ!#REF!</definedName>
    <definedName name="_6.3" localSheetId="2">[1]BOQ!#REF!</definedName>
    <definedName name="_6.3">[1]BOQ!#REF!</definedName>
    <definedName name="_6.4" localSheetId="2">[1]BOQ!#REF!</definedName>
    <definedName name="_6.4">[1]BOQ!#REF!</definedName>
    <definedName name="_6_3_0Crite" localSheetId="2">#REF!</definedName>
    <definedName name="_6_3_0Crite">#REF!</definedName>
    <definedName name="_7_3_0Criteria" localSheetId="2">#REF!</definedName>
    <definedName name="_7_3_0Criteria">#REF!</definedName>
    <definedName name="_8Àü°_³ë" localSheetId="2">#REF!</definedName>
    <definedName name="_8Àü°_³ë">#REF!</definedName>
    <definedName name="_9G_0Extr" localSheetId="2">#REF!</definedName>
    <definedName name="_9G_0Extr">#REF!</definedName>
    <definedName name="_A" localSheetId="2">#REF!</definedName>
    <definedName name="_A">#REF!</definedName>
    <definedName name="_AA158221" localSheetId="2">#REF!</definedName>
    <definedName name="_AA158221">#REF!</definedName>
    <definedName name="_BFF1" localSheetId="2">#REF!</definedName>
    <definedName name="_BFF1">#REF!</definedName>
    <definedName name="_C" localSheetId="2">#REF!</definedName>
    <definedName name="_C">#REF!</definedName>
    <definedName name="_Dist_Bin" localSheetId="2" hidden="1">#REF!</definedName>
    <definedName name="_Dist_Bin" hidden="1">#REF!</definedName>
    <definedName name="_Dist_Values" localSheetId="2" hidden="1">#REF!</definedName>
    <definedName name="_Dist_Values" hidden="1">#REF!</definedName>
    <definedName name="_Fill" localSheetId="2" hidden="1">#REF!</definedName>
    <definedName name="_Fill" hidden="1">#REF!</definedName>
    <definedName name="_xlnm._FilterDatabase" localSheetId="2" hidden="1">#REF!</definedName>
    <definedName name="_xlnm._FilterDatabase" hidden="1">#REF!</definedName>
    <definedName name="_HSH1" localSheetId="2">#REF!</definedName>
    <definedName name="_HSH1">#REF!</definedName>
    <definedName name="_HSH2" localSheetId="2">#REF!</definedName>
    <definedName name="_HSH2">#REF!</definedName>
    <definedName name="_LL6" localSheetId="2">#REF!</definedName>
    <definedName name="_LL6">#REF!</definedName>
    <definedName name="_LL7" localSheetId="2">#REF!</definedName>
    <definedName name="_LL7">#REF!</definedName>
    <definedName name="_LTT1" localSheetId="2">#REF!</definedName>
    <definedName name="_LTT1">#REF!</definedName>
    <definedName name="_MON1" localSheetId="2">#REF!</definedName>
    <definedName name="_MON1">#REF!</definedName>
    <definedName name="_NP1" localSheetId="2">#REF!</definedName>
    <definedName name="_NP1">#REF!</definedName>
    <definedName name="_NP2" localSheetId="2">#REF!</definedName>
    <definedName name="_NP2">#REF!</definedName>
    <definedName name="_NSH1" localSheetId="2">#REF!</definedName>
    <definedName name="_NSH1">#REF!</definedName>
    <definedName name="_NSH2" localSheetId="2">#REF!</definedName>
    <definedName name="_NSH2">#REF!</definedName>
    <definedName name="_Order1" hidden="1">255</definedName>
    <definedName name="_Order2" hidden="1">255</definedName>
    <definedName name="_PE1" localSheetId="2">#REF!</definedName>
    <definedName name="_PE1">#REF!</definedName>
    <definedName name="_PE10" localSheetId="2">#REF!</definedName>
    <definedName name="_PE10">#REF!</definedName>
    <definedName name="_PE11" localSheetId="2">#REF!</definedName>
    <definedName name="_PE11">#REF!</definedName>
    <definedName name="_PE12" localSheetId="2">#REF!</definedName>
    <definedName name="_PE12">#REF!</definedName>
    <definedName name="_PE13" localSheetId="2">#REF!</definedName>
    <definedName name="_PE13">#REF!</definedName>
    <definedName name="_PE14" localSheetId="2">#REF!</definedName>
    <definedName name="_PE14">#REF!</definedName>
    <definedName name="_PE15" localSheetId="2">#REF!</definedName>
    <definedName name="_PE15">#REF!</definedName>
    <definedName name="_PE16" localSheetId="2">#REF!</definedName>
    <definedName name="_PE16">#REF!</definedName>
    <definedName name="_PE17" localSheetId="2">#REF!</definedName>
    <definedName name="_PE17">#REF!</definedName>
    <definedName name="_PE18" localSheetId="2">#REF!</definedName>
    <definedName name="_PE18">#REF!</definedName>
    <definedName name="_PE19" localSheetId="2">#REF!</definedName>
    <definedName name="_PE19">#REF!</definedName>
    <definedName name="_PE2" localSheetId="2">#REF!</definedName>
    <definedName name="_PE2">#REF!</definedName>
    <definedName name="_PE20" localSheetId="2">#REF!</definedName>
    <definedName name="_PE20">#REF!</definedName>
    <definedName name="_PE21" localSheetId="2">#REF!</definedName>
    <definedName name="_PE21">#REF!</definedName>
    <definedName name="_PE22" localSheetId="2">#REF!</definedName>
    <definedName name="_PE22">#REF!</definedName>
    <definedName name="_PE23" localSheetId="2">#REF!</definedName>
    <definedName name="_PE23">#REF!</definedName>
    <definedName name="_PE24" localSheetId="2">#REF!</definedName>
    <definedName name="_PE24">#REF!</definedName>
    <definedName name="_PE25" localSheetId="2">#REF!</definedName>
    <definedName name="_PE25">#REF!</definedName>
    <definedName name="_PE26" localSheetId="2">#REF!</definedName>
    <definedName name="_PE26">#REF!</definedName>
    <definedName name="_PE27" localSheetId="2">#REF!</definedName>
    <definedName name="_PE27">#REF!</definedName>
    <definedName name="_PE28" localSheetId="2">#REF!</definedName>
    <definedName name="_PE28">#REF!</definedName>
    <definedName name="_PE29" localSheetId="2">#REF!</definedName>
    <definedName name="_PE29">#REF!</definedName>
    <definedName name="_PE3" localSheetId="2">#REF!</definedName>
    <definedName name="_PE3">#REF!</definedName>
    <definedName name="_PE30" localSheetId="2">#REF!</definedName>
    <definedName name="_PE30">#REF!</definedName>
    <definedName name="_PE31" localSheetId="2">#REF!</definedName>
    <definedName name="_PE31">#REF!</definedName>
    <definedName name="_PE32" localSheetId="2">#REF!</definedName>
    <definedName name="_PE32">#REF!</definedName>
    <definedName name="_PE33" localSheetId="2">#REF!</definedName>
    <definedName name="_PE33">#REF!</definedName>
    <definedName name="_PE34" localSheetId="2">#REF!</definedName>
    <definedName name="_PE34">#REF!</definedName>
    <definedName name="_PE35" localSheetId="2">#REF!</definedName>
    <definedName name="_PE35">#REF!</definedName>
    <definedName name="_PE36" localSheetId="2">#REF!</definedName>
    <definedName name="_PE36">#REF!</definedName>
    <definedName name="_PE37" localSheetId="2">#REF!</definedName>
    <definedName name="_PE37">#REF!</definedName>
    <definedName name="_PE38" localSheetId="2">#REF!</definedName>
    <definedName name="_PE38">#REF!</definedName>
    <definedName name="_PE39" localSheetId="2">#REF!</definedName>
    <definedName name="_PE39">#REF!</definedName>
    <definedName name="_PE4" localSheetId="2">#REF!</definedName>
    <definedName name="_PE4">#REF!</definedName>
    <definedName name="_PE40" localSheetId="2">#REF!</definedName>
    <definedName name="_PE40">#REF!</definedName>
    <definedName name="_PE41" localSheetId="2">#REF!</definedName>
    <definedName name="_PE41">#REF!</definedName>
    <definedName name="_PE42" localSheetId="2">#REF!</definedName>
    <definedName name="_PE42">#REF!</definedName>
    <definedName name="_PE43" localSheetId="2">#REF!</definedName>
    <definedName name="_PE43">#REF!</definedName>
    <definedName name="_PE44" localSheetId="2">#REF!</definedName>
    <definedName name="_PE44">#REF!</definedName>
    <definedName name="_PE45" localSheetId="2">#REF!</definedName>
    <definedName name="_PE45">#REF!</definedName>
    <definedName name="_PE46" localSheetId="2">#REF!</definedName>
    <definedName name="_PE46">#REF!</definedName>
    <definedName name="_PE47" localSheetId="2">#REF!</definedName>
    <definedName name="_PE47">#REF!</definedName>
    <definedName name="_PE48" localSheetId="2">#REF!</definedName>
    <definedName name="_PE48">#REF!</definedName>
    <definedName name="_PE49" localSheetId="2">#REF!</definedName>
    <definedName name="_PE49">#REF!</definedName>
    <definedName name="_PE5" localSheetId="2">#REF!</definedName>
    <definedName name="_PE5">#REF!</definedName>
    <definedName name="_PE50" localSheetId="2">#REF!</definedName>
    <definedName name="_PE50">#REF!</definedName>
    <definedName name="_PE51" localSheetId="2">#REF!</definedName>
    <definedName name="_PE51">#REF!</definedName>
    <definedName name="_PE52" localSheetId="2">#REF!</definedName>
    <definedName name="_PE52">#REF!</definedName>
    <definedName name="_PE53" localSheetId="2">#REF!</definedName>
    <definedName name="_PE53">#REF!</definedName>
    <definedName name="_PE54" localSheetId="2">#REF!</definedName>
    <definedName name="_PE54">#REF!</definedName>
    <definedName name="_PE55" localSheetId="2">#REF!</definedName>
    <definedName name="_PE55">#REF!</definedName>
    <definedName name="_PE56" localSheetId="2">#REF!</definedName>
    <definedName name="_PE56">#REF!</definedName>
    <definedName name="_PE57" localSheetId="2">#REF!</definedName>
    <definedName name="_PE57">#REF!</definedName>
    <definedName name="_PE58" localSheetId="2">#REF!</definedName>
    <definedName name="_PE58">#REF!</definedName>
    <definedName name="_PE59" localSheetId="2">#REF!</definedName>
    <definedName name="_PE59">#REF!</definedName>
    <definedName name="_PE6" localSheetId="2">#REF!</definedName>
    <definedName name="_PE6">#REF!</definedName>
    <definedName name="_PE60" localSheetId="2">#REF!</definedName>
    <definedName name="_PE60">#REF!</definedName>
    <definedName name="_PE61" localSheetId="2">#REF!</definedName>
    <definedName name="_PE61">#REF!</definedName>
    <definedName name="_PE62" localSheetId="2">#REF!</definedName>
    <definedName name="_PE62">#REF!</definedName>
    <definedName name="_PE7" localSheetId="2">#REF!</definedName>
    <definedName name="_PE7">#REF!</definedName>
    <definedName name="_PE8" localSheetId="2">#REF!</definedName>
    <definedName name="_PE8">#REF!</definedName>
    <definedName name="_PE9" localSheetId="2">#REF!</definedName>
    <definedName name="_PE9">#REF!</definedName>
    <definedName name="_PL1" localSheetId="2">#REF!</definedName>
    <definedName name="_PL1">#REF!</definedName>
    <definedName name="_PL10" localSheetId="2">#REF!</definedName>
    <definedName name="_PL10">#REF!</definedName>
    <definedName name="_PL11" localSheetId="2">#REF!</definedName>
    <definedName name="_PL11">#REF!</definedName>
    <definedName name="_PL12" localSheetId="2">#REF!</definedName>
    <definedName name="_PL12">#REF!</definedName>
    <definedName name="_PL13" localSheetId="2">#REF!</definedName>
    <definedName name="_PL13">#REF!</definedName>
    <definedName name="_PL14" localSheetId="2">#REF!</definedName>
    <definedName name="_PL14">#REF!</definedName>
    <definedName name="_PL15" localSheetId="2">#REF!</definedName>
    <definedName name="_PL15">#REF!</definedName>
    <definedName name="_PL16" localSheetId="2">#REF!</definedName>
    <definedName name="_PL16">#REF!</definedName>
    <definedName name="_PL17" localSheetId="2">#REF!</definedName>
    <definedName name="_PL17">#REF!</definedName>
    <definedName name="_PL18" localSheetId="2">#REF!</definedName>
    <definedName name="_PL18">#REF!</definedName>
    <definedName name="_PL19" localSheetId="2">#REF!</definedName>
    <definedName name="_PL19">#REF!</definedName>
    <definedName name="_PL2" localSheetId="2">#REF!</definedName>
    <definedName name="_PL2">#REF!</definedName>
    <definedName name="_PL20" localSheetId="2">#REF!</definedName>
    <definedName name="_PL20">#REF!</definedName>
    <definedName name="_PL21" localSheetId="2">#REF!</definedName>
    <definedName name="_PL21">#REF!</definedName>
    <definedName name="_PL22" localSheetId="2">#REF!</definedName>
    <definedName name="_PL22">#REF!</definedName>
    <definedName name="_PL23" localSheetId="2">#REF!</definedName>
    <definedName name="_PL23">#REF!</definedName>
    <definedName name="_PL24" localSheetId="2">#REF!</definedName>
    <definedName name="_PL24">#REF!</definedName>
    <definedName name="_PL25" localSheetId="2">#REF!</definedName>
    <definedName name="_PL25">#REF!</definedName>
    <definedName name="_PL26" localSheetId="2">#REF!</definedName>
    <definedName name="_PL26">#REF!</definedName>
    <definedName name="_PL27" localSheetId="2">#REF!</definedName>
    <definedName name="_PL27">#REF!</definedName>
    <definedName name="_PL28" localSheetId="2">#REF!</definedName>
    <definedName name="_PL28">#REF!</definedName>
    <definedName name="_PL29" localSheetId="2">#REF!</definedName>
    <definedName name="_PL29">#REF!</definedName>
    <definedName name="_PL3" localSheetId="2">#REF!</definedName>
    <definedName name="_PL3">#REF!</definedName>
    <definedName name="_PL30" localSheetId="2">#REF!</definedName>
    <definedName name="_PL30">#REF!</definedName>
    <definedName name="_PL31" localSheetId="2">#REF!</definedName>
    <definedName name="_PL31">#REF!</definedName>
    <definedName name="_PL32" localSheetId="2">#REF!</definedName>
    <definedName name="_PL32">#REF!</definedName>
    <definedName name="_PL33" localSheetId="2">#REF!</definedName>
    <definedName name="_PL33">#REF!</definedName>
    <definedName name="_PL34" localSheetId="2">#REF!</definedName>
    <definedName name="_PL34">#REF!</definedName>
    <definedName name="_PL35" localSheetId="2">#REF!</definedName>
    <definedName name="_PL35">#REF!</definedName>
    <definedName name="_PL36" localSheetId="2">#REF!</definedName>
    <definedName name="_PL36">#REF!</definedName>
    <definedName name="_PL37" localSheetId="2">#REF!</definedName>
    <definedName name="_PL37">#REF!</definedName>
    <definedName name="_PL38" localSheetId="2">#REF!</definedName>
    <definedName name="_PL38">#REF!</definedName>
    <definedName name="_PL39" localSheetId="2">#REF!</definedName>
    <definedName name="_PL39">#REF!</definedName>
    <definedName name="_PL4" localSheetId="2">#REF!</definedName>
    <definedName name="_PL4">#REF!</definedName>
    <definedName name="_PL40" localSheetId="2">#REF!</definedName>
    <definedName name="_PL40">#REF!</definedName>
    <definedName name="_PL41" localSheetId="2">#REF!</definedName>
    <definedName name="_PL41">#REF!</definedName>
    <definedName name="_PL42" localSheetId="2">#REF!</definedName>
    <definedName name="_PL42">#REF!</definedName>
    <definedName name="_PL43" localSheetId="2">#REF!</definedName>
    <definedName name="_PL43">#REF!</definedName>
    <definedName name="_PL44" localSheetId="2">#REF!</definedName>
    <definedName name="_PL44">#REF!</definedName>
    <definedName name="_PL45" localSheetId="2">#REF!</definedName>
    <definedName name="_PL45">#REF!</definedName>
    <definedName name="_PL46" localSheetId="2">#REF!</definedName>
    <definedName name="_PL46">#REF!</definedName>
    <definedName name="_PL47" localSheetId="2">#REF!</definedName>
    <definedName name="_PL47">#REF!</definedName>
    <definedName name="_PL48" localSheetId="2">#REF!</definedName>
    <definedName name="_PL48">#REF!</definedName>
    <definedName name="_PL49" localSheetId="2">#REF!</definedName>
    <definedName name="_PL49">#REF!</definedName>
    <definedName name="_PL5" localSheetId="2">#REF!</definedName>
    <definedName name="_PL5">#REF!</definedName>
    <definedName name="_PL50" localSheetId="2">#REF!</definedName>
    <definedName name="_PL50">#REF!</definedName>
    <definedName name="_PL51" localSheetId="2">#REF!</definedName>
    <definedName name="_PL51">#REF!</definedName>
    <definedName name="_PL52" localSheetId="2">#REF!</definedName>
    <definedName name="_PL52">#REF!</definedName>
    <definedName name="_PL53" localSheetId="2">#REF!</definedName>
    <definedName name="_PL53">#REF!</definedName>
    <definedName name="_PL54" localSheetId="2">#REF!</definedName>
    <definedName name="_PL54">#REF!</definedName>
    <definedName name="_PL55" localSheetId="2">#REF!</definedName>
    <definedName name="_PL55">#REF!</definedName>
    <definedName name="_PL56" localSheetId="2">#REF!</definedName>
    <definedName name="_PL56">#REF!</definedName>
    <definedName name="_PL57" localSheetId="2">#REF!</definedName>
    <definedName name="_PL57">#REF!</definedName>
    <definedName name="_PL58" localSheetId="2">#REF!</definedName>
    <definedName name="_PL58">#REF!</definedName>
    <definedName name="_PL59" localSheetId="2">#REF!</definedName>
    <definedName name="_PL59">#REF!</definedName>
    <definedName name="_PL6" localSheetId="2">#REF!</definedName>
    <definedName name="_PL6">#REF!</definedName>
    <definedName name="_PL60" localSheetId="2">#REF!</definedName>
    <definedName name="_PL60">#REF!</definedName>
    <definedName name="_PL61" localSheetId="2">#REF!</definedName>
    <definedName name="_PL61">#REF!</definedName>
    <definedName name="_PL62" localSheetId="2">#REF!</definedName>
    <definedName name="_PL62">#REF!</definedName>
    <definedName name="_PL7" localSheetId="2">#REF!</definedName>
    <definedName name="_PL7">#REF!</definedName>
    <definedName name="_PL8" localSheetId="2">#REF!</definedName>
    <definedName name="_PL8">#REF!</definedName>
    <definedName name="_PL9" localSheetId="2">#REF!</definedName>
    <definedName name="_PL9">#REF!</definedName>
    <definedName name="_PM1" localSheetId="2">#REF!</definedName>
    <definedName name="_PM1">#REF!</definedName>
    <definedName name="_PM10" localSheetId="2">#REF!</definedName>
    <definedName name="_PM10">#REF!</definedName>
    <definedName name="_PM11" localSheetId="2">#REF!</definedName>
    <definedName name="_PM11">#REF!</definedName>
    <definedName name="_PM12" localSheetId="2">#REF!</definedName>
    <definedName name="_PM12">#REF!</definedName>
    <definedName name="_PM13" localSheetId="2">#REF!</definedName>
    <definedName name="_PM13">#REF!</definedName>
    <definedName name="_PM14" localSheetId="2">#REF!</definedName>
    <definedName name="_PM14">#REF!</definedName>
    <definedName name="_PM15" localSheetId="2">#REF!</definedName>
    <definedName name="_PM15">#REF!</definedName>
    <definedName name="_PM16" localSheetId="2">#REF!</definedName>
    <definedName name="_PM16">#REF!</definedName>
    <definedName name="_PM17" localSheetId="2">#REF!</definedName>
    <definedName name="_PM17">#REF!</definedName>
    <definedName name="_PM18" localSheetId="2">#REF!</definedName>
    <definedName name="_PM18">#REF!</definedName>
    <definedName name="_PM19" localSheetId="2">#REF!</definedName>
    <definedName name="_PM19">#REF!</definedName>
    <definedName name="_PM2" localSheetId="2">#REF!</definedName>
    <definedName name="_PM2">#REF!</definedName>
    <definedName name="_PM20" localSheetId="2">#REF!</definedName>
    <definedName name="_PM20">#REF!</definedName>
    <definedName name="_PM21" localSheetId="2">#REF!</definedName>
    <definedName name="_PM21">#REF!</definedName>
    <definedName name="_PM22" localSheetId="2">#REF!</definedName>
    <definedName name="_PM22">#REF!</definedName>
    <definedName name="_PM23" localSheetId="2">#REF!</definedName>
    <definedName name="_PM23">#REF!</definedName>
    <definedName name="_PM24" localSheetId="2">#REF!</definedName>
    <definedName name="_PM24">#REF!</definedName>
    <definedName name="_PM25" localSheetId="2">#REF!</definedName>
    <definedName name="_PM25">#REF!</definedName>
    <definedName name="_PM26" localSheetId="2">#REF!</definedName>
    <definedName name="_PM26">#REF!</definedName>
    <definedName name="_PM27" localSheetId="2">#REF!</definedName>
    <definedName name="_PM27">#REF!</definedName>
    <definedName name="_PM28" localSheetId="2">#REF!</definedName>
    <definedName name="_PM28">#REF!</definedName>
    <definedName name="_PM29" localSheetId="2">#REF!</definedName>
    <definedName name="_PM29">#REF!</definedName>
    <definedName name="_PM3" localSheetId="2">#REF!</definedName>
    <definedName name="_PM3">#REF!</definedName>
    <definedName name="_PM30" localSheetId="2">#REF!</definedName>
    <definedName name="_PM30">#REF!</definedName>
    <definedName name="_PM31" localSheetId="2">#REF!</definedName>
    <definedName name="_PM31">#REF!</definedName>
    <definedName name="_PM32" localSheetId="2">#REF!</definedName>
    <definedName name="_PM32">#REF!</definedName>
    <definedName name="_PM33" localSheetId="2">#REF!</definedName>
    <definedName name="_PM33">#REF!</definedName>
    <definedName name="_PM34" localSheetId="2">#REF!</definedName>
    <definedName name="_PM34">#REF!</definedName>
    <definedName name="_PM35" localSheetId="2">#REF!</definedName>
    <definedName name="_PM35">#REF!</definedName>
    <definedName name="_PM36" localSheetId="2">#REF!</definedName>
    <definedName name="_PM36">#REF!</definedName>
    <definedName name="_PM37" localSheetId="2">#REF!</definedName>
    <definedName name="_PM37">#REF!</definedName>
    <definedName name="_PM38" localSheetId="2">#REF!</definedName>
    <definedName name="_PM38">#REF!</definedName>
    <definedName name="_PM39" localSheetId="2">#REF!</definedName>
    <definedName name="_PM39">#REF!</definedName>
    <definedName name="_PM4" localSheetId="2">#REF!</definedName>
    <definedName name="_PM4">#REF!</definedName>
    <definedName name="_PM40" localSheetId="2">#REF!</definedName>
    <definedName name="_PM40">#REF!</definedName>
    <definedName name="_PM41" localSheetId="2">#REF!</definedName>
    <definedName name="_PM41">#REF!</definedName>
    <definedName name="_PM42" localSheetId="2">#REF!</definedName>
    <definedName name="_PM42">#REF!</definedName>
    <definedName name="_PM43" localSheetId="2">#REF!</definedName>
    <definedName name="_PM43">#REF!</definedName>
    <definedName name="_PM44" localSheetId="2">#REF!</definedName>
    <definedName name="_PM44">#REF!</definedName>
    <definedName name="_PM45" localSheetId="2">#REF!</definedName>
    <definedName name="_PM45">#REF!</definedName>
    <definedName name="_PM46" localSheetId="2">#REF!</definedName>
    <definedName name="_PM46">#REF!</definedName>
    <definedName name="_PM47" localSheetId="2">#REF!</definedName>
    <definedName name="_PM47">#REF!</definedName>
    <definedName name="_PM48" localSheetId="2">#REF!</definedName>
    <definedName name="_PM48">#REF!</definedName>
    <definedName name="_PM49" localSheetId="2">#REF!</definedName>
    <definedName name="_PM49">#REF!</definedName>
    <definedName name="_PM5" localSheetId="2">#REF!</definedName>
    <definedName name="_PM5">#REF!</definedName>
    <definedName name="_PM50" localSheetId="2">#REF!</definedName>
    <definedName name="_PM50">#REF!</definedName>
    <definedName name="_PM51" localSheetId="2">#REF!</definedName>
    <definedName name="_PM51">#REF!</definedName>
    <definedName name="_PM52" localSheetId="2">#REF!</definedName>
    <definedName name="_PM52">#REF!</definedName>
    <definedName name="_PM53" localSheetId="2">#REF!</definedName>
    <definedName name="_PM53">#REF!</definedName>
    <definedName name="_PM54" localSheetId="2">#REF!</definedName>
    <definedName name="_PM54">#REF!</definedName>
    <definedName name="_PM55" localSheetId="2">#REF!</definedName>
    <definedName name="_PM55">#REF!</definedName>
    <definedName name="_PM56" localSheetId="2">#REF!</definedName>
    <definedName name="_PM56">#REF!</definedName>
    <definedName name="_PM57" localSheetId="2">#REF!</definedName>
    <definedName name="_PM57">#REF!</definedName>
    <definedName name="_PM58" localSheetId="2">#REF!</definedName>
    <definedName name="_PM58">#REF!</definedName>
    <definedName name="_PM59" localSheetId="2">#REF!</definedName>
    <definedName name="_PM59">#REF!</definedName>
    <definedName name="_PM6" localSheetId="2">#REF!</definedName>
    <definedName name="_PM6">#REF!</definedName>
    <definedName name="_PM60" localSheetId="2">#REF!</definedName>
    <definedName name="_PM60">#REF!</definedName>
    <definedName name="_PM61" localSheetId="2">#REF!</definedName>
    <definedName name="_PM61">#REF!</definedName>
    <definedName name="_PM62" localSheetId="2">#REF!</definedName>
    <definedName name="_PM62">#REF!</definedName>
    <definedName name="_PM7" localSheetId="2">#REF!</definedName>
    <definedName name="_PM7">#REF!</definedName>
    <definedName name="_PM8" localSheetId="2">#REF!</definedName>
    <definedName name="_PM8">#REF!</definedName>
    <definedName name="_PM9" localSheetId="2">#REF!</definedName>
    <definedName name="_PM9">#REF!</definedName>
    <definedName name="_R10㎝" localSheetId="2">#REF!</definedName>
    <definedName name="_R10㎝">#REF!</definedName>
    <definedName name="_R12㎝" localSheetId="2">#REF!</definedName>
    <definedName name="_R12㎝">#REF!</definedName>
    <definedName name="_R15㎝" localSheetId="2">#REF!</definedName>
    <definedName name="_R15㎝">#REF!</definedName>
    <definedName name="_R18㎝" localSheetId="2">#REF!</definedName>
    <definedName name="_R18㎝">#REF!</definedName>
    <definedName name="_R20㎝" localSheetId="2">#REF!</definedName>
    <definedName name="_R20㎝">#REF!</definedName>
    <definedName name="_R25㎝" localSheetId="2">#REF!</definedName>
    <definedName name="_R25㎝">#REF!</definedName>
    <definedName name="_R30㎝" localSheetId="2">#REF!</definedName>
    <definedName name="_R30㎝">#REF!</definedName>
    <definedName name="_R4㎝이하" localSheetId="2">#REF!</definedName>
    <definedName name="_R4㎝이하">#REF!</definedName>
    <definedName name="_R5㎝" localSheetId="2">#REF!</definedName>
    <definedName name="_R5㎝">#REF!</definedName>
    <definedName name="_R6㎝" localSheetId="2">#REF!</definedName>
    <definedName name="_R6㎝">#REF!</definedName>
    <definedName name="_R7㎝" localSheetId="2">#REF!</definedName>
    <definedName name="_R7㎝">#REF!</definedName>
    <definedName name="_R8㎝" localSheetId="2">#REF!</definedName>
    <definedName name="_R8㎝">#REF!</definedName>
    <definedName name="_SBB1" localSheetId="2">#REF!</definedName>
    <definedName name="_SBB1">#REF!</definedName>
    <definedName name="_SBB2" localSheetId="2">#REF!</definedName>
    <definedName name="_SBB2">#REF!</definedName>
    <definedName name="_SBB3" localSheetId="2">#REF!</definedName>
    <definedName name="_SBB3">#REF!</definedName>
    <definedName name="_SBB4" localSheetId="2">#REF!</definedName>
    <definedName name="_SBB4">#REF!</definedName>
    <definedName name="_SBB5" localSheetId="2">#REF!</definedName>
    <definedName name="_SBB5">#REF!</definedName>
    <definedName name="_SHH1" localSheetId="2">#REF!</definedName>
    <definedName name="_SHH1">#REF!</definedName>
    <definedName name="_SHH2" localSheetId="2">#REF!</definedName>
    <definedName name="_SHH2">#REF!</definedName>
    <definedName name="_SHH3" localSheetId="2">#REF!</definedName>
    <definedName name="_SHH3">#REF!</definedName>
    <definedName name="_SL1" localSheetId="2">#REF!</definedName>
    <definedName name="_SL1">#REF!</definedName>
    <definedName name="_SL2" localSheetId="2">#REF!</definedName>
    <definedName name="_SL2">#REF!</definedName>
    <definedName name="_SL3" localSheetId="2">#REF!</definedName>
    <definedName name="_SL3">#REF!</definedName>
    <definedName name="_SL4" localSheetId="2">#REF!</definedName>
    <definedName name="_SL4">#REF!</definedName>
    <definedName name="_SL5" localSheetId="2">#REF!</definedName>
    <definedName name="_SL5">#REF!</definedName>
    <definedName name="_SL6" localSheetId="2">#REF!</definedName>
    <definedName name="_SL6">#REF!</definedName>
    <definedName name="_ST1">#N/A</definedName>
    <definedName name="_ST2" localSheetId="2">#REF!</definedName>
    <definedName name="_ST2">#REF!</definedName>
    <definedName name="_Table1_In1" localSheetId="2" hidden="1">#REF!</definedName>
    <definedName name="_Table1_In1" hidden="1">#REF!</definedName>
    <definedName name="_Table1_Out" localSheetId="2" hidden="1">#REF!</definedName>
    <definedName name="_Table1_Out" hidden="1">#REF!</definedName>
    <definedName name="_UTT1" localSheetId="2">#REF!</definedName>
    <definedName name="_UTT1">#REF!</definedName>
    <definedName name="_WHH1" localSheetId="2">#REF!</definedName>
    <definedName name="_WHH1">#REF!</definedName>
    <definedName name="_WTT1" localSheetId="2">#REF!</definedName>
    <definedName name="_WTT1">#REF!</definedName>
    <definedName name="¾EAu" localSheetId="2">#REF!</definedName>
    <definedName name="¾EAu">#REF!</definedName>
    <definedName name="¾ÈÀü" localSheetId="2">#REF!</definedName>
    <definedName name="¾ÈÀü">#REF!</definedName>
    <definedName name="A" localSheetId="2">#REF!</definedName>
    <definedName name="A">#REF!</definedName>
    <definedName name="A_1" localSheetId="2">#REF!</definedName>
    <definedName name="A_1">#REF!</definedName>
    <definedName name="A_2" localSheetId="2">#REF!</definedName>
    <definedName name="A_2">#REF!</definedName>
    <definedName name="A_b" localSheetId="2">#REF!</definedName>
    <definedName name="A_b">#REF!</definedName>
    <definedName name="aa" localSheetId="2" hidden="1">#REF!</definedName>
    <definedName name="aa" hidden="1">#REF!</definedName>
    <definedName name="AAA" localSheetId="2">#REF!</definedName>
    <definedName name="AAA">#REF!</definedName>
    <definedName name="aaaa" localSheetId="2">#REF!</definedName>
    <definedName name="aaaa">#REF!</definedName>
    <definedName name="aaaaaaaaaaaaaaaaaaaaaaaaaaa" localSheetId="2" hidden="1">{#N/A,#N/A,FALSE,"조골재"}</definedName>
    <definedName name="aaaaaaaaaaaaaaaaaaaaaaaaaaa" hidden="1">{#N/A,#N/A,FALSE,"조골재"}</definedName>
    <definedName name="abc" localSheetId="2">#REF!</definedName>
    <definedName name="abc">#REF!</definedName>
    <definedName name="Abut_name" localSheetId="2">#REF!</definedName>
    <definedName name="Abut_name">#REF!</definedName>
    <definedName name="Abut_name1" localSheetId="2">#REF!</definedName>
    <definedName name="Abut_name1">#REF!</definedName>
    <definedName name="ACE" localSheetId="2">#REF!</definedName>
    <definedName name="ACE">#REF!</definedName>
    <definedName name="Address" localSheetId="2">#REF!</definedName>
    <definedName name="Address">#REF!</definedName>
    <definedName name="al" localSheetId="2">#REF!</definedName>
    <definedName name="al">#REF!</definedName>
    <definedName name="all" localSheetId="2">#REF!</definedName>
    <definedName name="all">#REF!</definedName>
    <definedName name="AP" localSheetId="2">#REF!</definedName>
    <definedName name="AP">#REF!</definedName>
    <definedName name="APP" localSheetId="2">#REF!</definedName>
    <definedName name="APP">#REF!</definedName>
    <definedName name="as" localSheetId="2">#REF!</definedName>
    <definedName name="as">#REF!</definedName>
    <definedName name="ASS" localSheetId="2">#REF!</definedName>
    <definedName name="ASS">#REF!</definedName>
    <definedName name="AT" localSheetId="2">#REF!</definedName>
    <definedName name="AT">#REF!</definedName>
    <definedName name="Au°￡³e" localSheetId="2">#REF!</definedName>
    <definedName name="Au°￡³e">#REF!</definedName>
    <definedName name="AuAc·a" localSheetId="2">#REF!</definedName>
    <definedName name="AuAc·a">#REF!</definedName>
    <definedName name="ÀüÀç·á" localSheetId="2">#REF!</definedName>
    <definedName name="ÀüÀç·á">#REF!</definedName>
    <definedName name="B" localSheetId="2">#REF!</definedName>
    <definedName name="B">#REF!</definedName>
    <definedName name="B_1" localSheetId="2">#REF!</definedName>
    <definedName name="B_1">#REF!</definedName>
    <definedName name="B_12" localSheetId="2">#REF!</definedName>
    <definedName name="B_12">#REF!</definedName>
    <definedName name="B_2" localSheetId="2">#REF!</definedName>
    <definedName name="B_2">#REF!</definedName>
    <definedName name="B10㎝" localSheetId="2">#REF!</definedName>
    <definedName name="B10㎝">#REF!</definedName>
    <definedName name="B12㎝" localSheetId="2">#REF!</definedName>
    <definedName name="B12㎝">#REF!</definedName>
    <definedName name="B15㎝" localSheetId="2">#REF!</definedName>
    <definedName name="B15㎝">#REF!</definedName>
    <definedName name="B18㎝" localSheetId="2">#REF!</definedName>
    <definedName name="B18㎝">#REF!</definedName>
    <definedName name="B1A" localSheetId="2">#REF!</definedName>
    <definedName name="B1A">#REF!</definedName>
    <definedName name="B1B" localSheetId="2">#REF!</definedName>
    <definedName name="B1B">#REF!</definedName>
    <definedName name="B1WL" localSheetId="2">#REF!</definedName>
    <definedName name="B1WL">#REF!</definedName>
    <definedName name="B1WR" localSheetId="2">#REF!</definedName>
    <definedName name="B1WR">#REF!</definedName>
    <definedName name="B20㎝" localSheetId="2">#REF!</definedName>
    <definedName name="B20㎝">#REF!</definedName>
    <definedName name="B25㎝" localSheetId="2">#REF!</definedName>
    <definedName name="B25㎝">#REF!</definedName>
    <definedName name="B2A" localSheetId="2">#REF!</definedName>
    <definedName name="B2A">#REF!</definedName>
    <definedName name="B2B" localSheetId="2">#REF!</definedName>
    <definedName name="B2B">#REF!</definedName>
    <definedName name="B2WL" localSheetId="2">#REF!</definedName>
    <definedName name="B2WL">#REF!</definedName>
    <definedName name="B2WR" localSheetId="2">#REF!</definedName>
    <definedName name="B2WR">#REF!</definedName>
    <definedName name="B30㎝" localSheetId="2">#REF!</definedName>
    <definedName name="B30㎝">#REF!</definedName>
    <definedName name="B3A" localSheetId="2">#REF!</definedName>
    <definedName name="B3A">#REF!</definedName>
    <definedName name="B3B" localSheetId="2">#REF!</definedName>
    <definedName name="B3B">#REF!</definedName>
    <definedName name="B4A" localSheetId="2">#REF!</definedName>
    <definedName name="B4A">#REF!</definedName>
    <definedName name="B4B" localSheetId="2">#REF!</definedName>
    <definedName name="B4B">#REF!</definedName>
    <definedName name="B4㎝이하" localSheetId="2">#REF!</definedName>
    <definedName name="B4㎝이하">#REF!</definedName>
    <definedName name="B5A" localSheetId="2">#REF!</definedName>
    <definedName name="B5A">#REF!</definedName>
    <definedName name="B5㎝" localSheetId="2">#REF!</definedName>
    <definedName name="B5㎝">#REF!</definedName>
    <definedName name="B6A" localSheetId="2">#REF!</definedName>
    <definedName name="B6A">#REF!</definedName>
    <definedName name="B6㎝" localSheetId="2">#REF!</definedName>
    <definedName name="B6㎝">#REF!</definedName>
    <definedName name="B7A" localSheetId="2">#REF!</definedName>
    <definedName name="B7A">#REF!</definedName>
    <definedName name="B7㎝" localSheetId="2">#REF!</definedName>
    <definedName name="B7㎝">#REF!</definedName>
    <definedName name="B8A" localSheetId="2">#REF!</definedName>
    <definedName name="B8A">#REF!</definedName>
    <definedName name="B8㎝" localSheetId="2">#REF!</definedName>
    <definedName name="B8㎝">#REF!</definedName>
    <definedName name="BA" localSheetId="2">#REF!</definedName>
    <definedName name="BA">#REF!</definedName>
    <definedName name="BASE" localSheetId="2">#REF!</definedName>
    <definedName name="BASE">#REF!</definedName>
    <definedName name="BB" localSheetId="2">#REF!</definedName>
    <definedName name="BB">#REF!</definedName>
    <definedName name="BBB" localSheetId="2">#REF!</definedName>
    <definedName name="BBB">#REF!</definedName>
    <definedName name="BDCODE">#N/A</definedName>
    <definedName name="beam" localSheetId="2">#REF!</definedName>
    <definedName name="beam">#REF!</definedName>
    <definedName name="BF" localSheetId="2">#REF!</definedName>
    <definedName name="BF">#REF!</definedName>
    <definedName name="BFB" localSheetId="2">#REF!</definedName>
    <definedName name="BFB">#REF!</definedName>
    <definedName name="BFF" localSheetId="2">#REF!</definedName>
    <definedName name="BFF">#REF!</definedName>
    <definedName name="BHU" localSheetId="2">#REF!</definedName>
    <definedName name="BHU">#REF!</definedName>
    <definedName name="BIBILE" localSheetId="2">#REF!</definedName>
    <definedName name="BIBILE">#REF!</definedName>
    <definedName name="BIN" localSheetId="2">#REF!</definedName>
    <definedName name="BIN">#REF!</definedName>
    <definedName name="BL" localSheetId="2">#REF!</definedName>
    <definedName name="BL">#REF!</definedName>
    <definedName name="BLO_1">#N/A</definedName>
    <definedName name="BMO" localSheetId="2">#REF!</definedName>
    <definedName name="BMO">#REF!</definedName>
    <definedName name="BOQ" localSheetId="2">#REF!</definedName>
    <definedName name="BOQ">#REF!</definedName>
    <definedName name="BOXCULVERT" localSheetId="2">#REF!</definedName>
    <definedName name="BOXCULVERT">#REF!</definedName>
    <definedName name="br" localSheetId="2">#REF!</definedName>
    <definedName name="br">#REF!</definedName>
    <definedName name="BR_NO" localSheetId="2">#REF!</definedName>
    <definedName name="BR_NO">#REF!</definedName>
    <definedName name="BRIDGE" localSheetId="2">#REF!</definedName>
    <definedName name="BRIDGE">#REF!</definedName>
    <definedName name="BSH" localSheetId="2">#REF!</definedName>
    <definedName name="BSH">#REF!</definedName>
    <definedName name="BU" localSheetId="2">#REF!</definedName>
    <definedName name="BU">#REF!</definedName>
    <definedName name="BUL" localSheetId="2">#REF!</definedName>
    <definedName name="BUL">#REF!</definedName>
    <definedName name="BV" localSheetId="2">#REF!</definedName>
    <definedName name="BV">#REF!</definedName>
    <definedName name="C_">#N/A</definedName>
    <definedName name="C_b" localSheetId="2">#REF!</definedName>
    <definedName name="C_b">#REF!</definedName>
    <definedName name="category" localSheetId="2">#REF!</definedName>
    <definedName name="category">#REF!</definedName>
    <definedName name="CC" localSheetId="2">#REF!</definedName>
    <definedName name="CC">#REF!</definedName>
    <definedName name="ccc" localSheetId="2">#REF!</definedName>
    <definedName name="ccc">#REF!</definedName>
    <definedName name="CCCC" localSheetId="2">#REF!</definedName>
    <definedName name="CCCC">#REF!</definedName>
    <definedName name="ccccc" localSheetId="2">#REF!</definedName>
    <definedName name="ccccc">#REF!</definedName>
    <definedName name="CCCCCCC">[3]BOQ2!$G$575</definedName>
    <definedName name="chart" localSheetId="2">#REF!</definedName>
    <definedName name="chart">#REF!</definedName>
    <definedName name="CHO">#N/A</definedName>
    <definedName name="City" localSheetId="2">#REF!</definedName>
    <definedName name="City">#REF!</definedName>
    <definedName name="CL" localSheetId="2">#REF!</definedName>
    <definedName name="CL">#REF!</definedName>
    <definedName name="COLUMN_A" localSheetId="2">#REF!</definedName>
    <definedName name="COLUMN_A">#REF!</definedName>
    <definedName name="COMPANY">#N/A</definedName>
    <definedName name="CONC">#N/A</definedName>
    <definedName name="Contents" localSheetId="2">#REF!</definedName>
    <definedName name="Contents">#REF!</definedName>
    <definedName name="COPING_W" localSheetId="2">#REF!</definedName>
    <definedName name="COPING_W">#REF!</definedName>
    <definedName name="Country" localSheetId="2">#REF!</definedName>
    <definedName name="Country">#REF!</definedName>
    <definedName name="CR" localSheetId="2">#REF!</definedName>
    <definedName name="CR">#REF!</definedName>
    <definedName name="Criteria_MI" localSheetId="2">#REF!</definedName>
    <definedName name="Criteria_MI">#REF!</definedName>
    <definedName name="cs" localSheetId="2">#REF!</definedName>
    <definedName name="cs">#REF!</definedName>
    <definedName name="D" localSheetId="2">#REF!</definedName>
    <definedName name="D">#REF!</definedName>
    <definedName name="DA" localSheetId="2">#REF!</definedName>
    <definedName name="DA">#REF!</definedName>
    <definedName name="DANGA" localSheetId="2">#REF!,#REF!</definedName>
    <definedName name="DANGA">#REF!,#REF!</definedName>
    <definedName name="danga2" localSheetId="2">#REF!,#REF!</definedName>
    <definedName name="danga2">#REF!,#REF!</definedName>
    <definedName name="data" localSheetId="2">#REF!</definedName>
    <definedName name="data">#REF!</definedName>
    <definedName name="data1" localSheetId="2" hidden="1">#REF!</definedName>
    <definedName name="data1" hidden="1">#REF!</definedName>
    <definedName name="data2" localSheetId="2" hidden="1">#REF!</definedName>
    <definedName name="data2" hidden="1">#REF!</definedName>
    <definedName name="data3" localSheetId="2" hidden="1">#REF!</definedName>
    <definedName name="data3" hidden="1">#REF!</definedName>
    <definedName name="_xlnm.Database" localSheetId="2">#REF!</definedName>
    <definedName name="_xlnm.Database">#REF!</definedName>
    <definedName name="Database_MI" localSheetId="2">#REF!</definedName>
    <definedName name="Database_MI">#REF!</definedName>
    <definedName name="DATABASE1" localSheetId="2">#REF!</definedName>
    <definedName name="DATABASE1">#REF!</definedName>
    <definedName name="Database2" localSheetId="2">#REF!</definedName>
    <definedName name="Database2">#REF!</definedName>
    <definedName name="date" localSheetId="2">#REF!</definedName>
    <definedName name="date">#REF!</definedName>
    <definedName name="DAY">#N/A</definedName>
    <definedName name="daywork_amount">'[4]9.DAY_WORK_SHEETS'!$F$1:$F$181</definedName>
    <definedName name="daywork_item">'[4]9.DAY_WORK_SHEETS'!$B$1:$B$181</definedName>
    <definedName name="Daywork1" localSheetId="2" hidden="1">{#N/A,#N/A,FALSE,"MARCH"}</definedName>
    <definedName name="Daywork1" hidden="1">{#N/A,#N/A,FALSE,"MARCH"}</definedName>
    <definedName name="dd" localSheetId="2">#REF!</definedName>
    <definedName name="dd">#REF!</definedName>
    <definedName name="ddd" localSheetId="2">#REF!</definedName>
    <definedName name="ddd">#REF!</definedName>
    <definedName name="DEL_ERR" localSheetId="2">#REF!</definedName>
    <definedName name="DEL_ERR">#REF!</definedName>
    <definedName name="DEL_ERR1" localSheetId="2">#REF!</definedName>
    <definedName name="DEL_ERR1">#REF!</definedName>
    <definedName name="DEL_ERR2" localSheetId="2">#REF!</definedName>
    <definedName name="DEL_ERR2">#REF!</definedName>
    <definedName name="DEL_ERR3" localSheetId="2">#REF!</definedName>
    <definedName name="DEL_ERR3">#REF!</definedName>
    <definedName name="DEL_ROW" localSheetId="2">#REF!</definedName>
    <definedName name="DEL_ROW">#REF!</definedName>
    <definedName name="DEL_ROW_S" localSheetId="2">#REF!</definedName>
    <definedName name="DEL_ROW_S">#REF!</definedName>
    <definedName name="DF" localSheetId="2">#REF!</definedName>
    <definedName name="DF">#REF!</definedName>
    <definedName name="dff" localSheetId="2" hidden="1">#REF!</definedName>
    <definedName name="dff" hidden="1">#REF!</definedName>
    <definedName name="dfjgopjga" localSheetId="2">#REF!</definedName>
    <definedName name="dfjgopjga">#REF!</definedName>
    <definedName name="Discount" localSheetId="2" hidden="1">#REF!</definedName>
    <definedName name="Discount" hidden="1">#REF!</definedName>
    <definedName name="display_area_2" localSheetId="2" hidden="1">#REF!</definedName>
    <definedName name="display_area_2" hidden="1">#REF!</definedName>
    <definedName name="dn" localSheetId="2" hidden="1">{#N/A,#N/A,FALSE,"혼합골재"}</definedName>
    <definedName name="dn" hidden="1">{#N/A,#N/A,FALSE,"혼합골재"}</definedName>
    <definedName name="dnftks" localSheetId="2">#REF!</definedName>
    <definedName name="dnftks">#REF!</definedName>
    <definedName name="DPI" localSheetId="2">#REF!</definedName>
    <definedName name="DPI">#REF!</definedName>
    <definedName name="DSVP" localSheetId="2">#REF!</definedName>
    <definedName name="DSVP">#REF!</definedName>
    <definedName name="DUCK" localSheetId="2">#REF!</definedName>
    <definedName name="DUCK">#REF!</definedName>
    <definedName name="DUCK.XLS" localSheetId="2">#REF!</definedName>
    <definedName name="DUCK.XLS">#REF!</definedName>
    <definedName name="Duration" localSheetId="2">#REF!</definedName>
    <definedName name="Duration">#REF!</definedName>
    <definedName name="E">#N/A</definedName>
    <definedName name="E10M" localSheetId="2">#REF!</definedName>
    <definedName name="E10M">#REF!</definedName>
    <definedName name="E10P" localSheetId="2">#REF!</definedName>
    <definedName name="E10P">#REF!</definedName>
    <definedName name="E11M" localSheetId="2">#REF!</definedName>
    <definedName name="E11M">#REF!</definedName>
    <definedName name="E11P" localSheetId="2">#REF!</definedName>
    <definedName name="E11P">#REF!</definedName>
    <definedName name="E12M" localSheetId="2">#REF!</definedName>
    <definedName name="E12M">#REF!</definedName>
    <definedName name="E12P" localSheetId="2">#REF!</definedName>
    <definedName name="E12P">#REF!</definedName>
    <definedName name="E13M" localSheetId="2">#REF!</definedName>
    <definedName name="E13M">#REF!</definedName>
    <definedName name="E13P" localSheetId="2">#REF!</definedName>
    <definedName name="E13P">#REF!</definedName>
    <definedName name="E14M" localSheetId="2">#REF!</definedName>
    <definedName name="E14M">#REF!</definedName>
    <definedName name="E14P" localSheetId="2">#REF!</definedName>
    <definedName name="E14P">#REF!</definedName>
    <definedName name="E15M" localSheetId="2">#REF!</definedName>
    <definedName name="E15M">#REF!</definedName>
    <definedName name="E15P" localSheetId="2">#REF!</definedName>
    <definedName name="E15P">#REF!</definedName>
    <definedName name="E16M" localSheetId="2">#REF!</definedName>
    <definedName name="E16M">#REF!</definedName>
    <definedName name="E16P" localSheetId="2">#REF!</definedName>
    <definedName name="E16P">#REF!</definedName>
    <definedName name="E17M" localSheetId="2">#REF!</definedName>
    <definedName name="E17M">#REF!</definedName>
    <definedName name="E17P" localSheetId="2">#REF!</definedName>
    <definedName name="E17P">#REF!</definedName>
    <definedName name="E18M" localSheetId="2">#REF!</definedName>
    <definedName name="E18M">#REF!</definedName>
    <definedName name="E18P" localSheetId="2">#REF!</definedName>
    <definedName name="E18P">#REF!</definedName>
    <definedName name="E19M" localSheetId="2">#REF!</definedName>
    <definedName name="E19M">#REF!</definedName>
    <definedName name="E19P" localSheetId="2">#REF!</definedName>
    <definedName name="E19P">#REF!</definedName>
    <definedName name="E1E" localSheetId="2">#REF!</definedName>
    <definedName name="E1E">#REF!</definedName>
    <definedName name="E1M" localSheetId="2">#REF!</definedName>
    <definedName name="E1M">#REF!</definedName>
    <definedName name="E1P" localSheetId="2">#REF!</definedName>
    <definedName name="E1P">#REF!</definedName>
    <definedName name="E20M" localSheetId="2">#REF!</definedName>
    <definedName name="E20M">#REF!</definedName>
    <definedName name="E20P" localSheetId="2">#REF!</definedName>
    <definedName name="E20P">#REF!</definedName>
    <definedName name="E21M" localSheetId="2">#REF!</definedName>
    <definedName name="E21M">#REF!</definedName>
    <definedName name="E21P" localSheetId="2">#REF!</definedName>
    <definedName name="E21P">#REF!</definedName>
    <definedName name="E22M" localSheetId="2">#REF!</definedName>
    <definedName name="E22M">#REF!</definedName>
    <definedName name="E22P" localSheetId="2">#REF!</definedName>
    <definedName name="E22P">#REF!</definedName>
    <definedName name="E23M" localSheetId="2">#REF!</definedName>
    <definedName name="E23M">#REF!</definedName>
    <definedName name="E23P" localSheetId="2">#REF!</definedName>
    <definedName name="E23P">#REF!</definedName>
    <definedName name="E24M" localSheetId="2">#REF!</definedName>
    <definedName name="E24M">#REF!</definedName>
    <definedName name="E24P" localSheetId="2">#REF!</definedName>
    <definedName name="E24P">#REF!</definedName>
    <definedName name="E25M" localSheetId="2">#REF!</definedName>
    <definedName name="E25M">#REF!</definedName>
    <definedName name="E25P" localSheetId="2">#REF!</definedName>
    <definedName name="E25P">#REF!</definedName>
    <definedName name="E26E" localSheetId="2">#REF!</definedName>
    <definedName name="E26E">#REF!</definedName>
    <definedName name="E26M" localSheetId="2">#REF!</definedName>
    <definedName name="E26M">#REF!</definedName>
    <definedName name="E26P" localSheetId="2">#REF!</definedName>
    <definedName name="E26P">#REF!</definedName>
    <definedName name="E27E" localSheetId="2">#REF!</definedName>
    <definedName name="E27E">#REF!</definedName>
    <definedName name="E27M" localSheetId="2">#REF!</definedName>
    <definedName name="E27M">#REF!</definedName>
    <definedName name="E27P" localSheetId="2">#REF!</definedName>
    <definedName name="E27P">#REF!</definedName>
    <definedName name="E28E" localSheetId="2">#REF!</definedName>
    <definedName name="E28E">#REF!</definedName>
    <definedName name="E28M" localSheetId="2">#REF!</definedName>
    <definedName name="E28M">#REF!</definedName>
    <definedName name="E28P" localSheetId="2">#REF!</definedName>
    <definedName name="E28P">#REF!</definedName>
    <definedName name="E29M" localSheetId="2">#REF!</definedName>
    <definedName name="E29M">#REF!</definedName>
    <definedName name="E29P" localSheetId="2">#REF!</definedName>
    <definedName name="E29P">#REF!</definedName>
    <definedName name="E2E" localSheetId="2">#REF!</definedName>
    <definedName name="E2E">#REF!</definedName>
    <definedName name="E2M" localSheetId="2">#REF!</definedName>
    <definedName name="E2M">#REF!</definedName>
    <definedName name="E2P" localSheetId="2">#REF!</definedName>
    <definedName name="E2P">#REF!</definedName>
    <definedName name="E30M" localSheetId="2">#REF!</definedName>
    <definedName name="E30M">#REF!</definedName>
    <definedName name="E30P" localSheetId="2">#REF!</definedName>
    <definedName name="E30P">#REF!</definedName>
    <definedName name="E31E" localSheetId="2">#REF!</definedName>
    <definedName name="E31E">#REF!</definedName>
    <definedName name="E31M" localSheetId="2">#REF!</definedName>
    <definedName name="E31M">#REF!</definedName>
    <definedName name="E31P" localSheetId="2">#REF!</definedName>
    <definedName name="E31P">#REF!</definedName>
    <definedName name="E32E" localSheetId="2">#REF!</definedName>
    <definedName name="E32E">#REF!</definedName>
    <definedName name="E32M" localSheetId="2">#REF!</definedName>
    <definedName name="E32M">#REF!</definedName>
    <definedName name="E32P" localSheetId="2">#REF!</definedName>
    <definedName name="E32P">#REF!</definedName>
    <definedName name="E33E" localSheetId="2">#REF!</definedName>
    <definedName name="E33E">#REF!</definedName>
    <definedName name="E33M" localSheetId="2">#REF!</definedName>
    <definedName name="E33M">#REF!</definedName>
    <definedName name="E33P" localSheetId="2">#REF!</definedName>
    <definedName name="E33P">#REF!</definedName>
    <definedName name="E34E" localSheetId="2">#REF!</definedName>
    <definedName name="E34E">#REF!</definedName>
    <definedName name="E34M" localSheetId="2">#REF!</definedName>
    <definedName name="E34M">#REF!</definedName>
    <definedName name="E34P" localSheetId="2">#REF!</definedName>
    <definedName name="E34P">#REF!</definedName>
    <definedName name="E35M" localSheetId="2">#REF!</definedName>
    <definedName name="E35M">#REF!</definedName>
    <definedName name="E35P" localSheetId="2">#REF!</definedName>
    <definedName name="E35P">#REF!</definedName>
    <definedName name="E36M" localSheetId="2">#REF!</definedName>
    <definedName name="E36M">#REF!</definedName>
    <definedName name="E36P" localSheetId="2">#REF!</definedName>
    <definedName name="E36P">#REF!</definedName>
    <definedName name="E37M" localSheetId="2">#REF!</definedName>
    <definedName name="E37M">#REF!</definedName>
    <definedName name="E37P" localSheetId="2">#REF!</definedName>
    <definedName name="E37P">#REF!</definedName>
    <definedName name="E38M" localSheetId="2">#REF!</definedName>
    <definedName name="E38M">#REF!</definedName>
    <definedName name="E38P" localSheetId="2">#REF!</definedName>
    <definedName name="E38P">#REF!</definedName>
    <definedName name="E39M" localSheetId="2">#REF!</definedName>
    <definedName name="E39M">#REF!</definedName>
    <definedName name="E39P" localSheetId="2">#REF!</definedName>
    <definedName name="E39P">#REF!</definedName>
    <definedName name="E3P" localSheetId="2">#REF!</definedName>
    <definedName name="E3P">#REF!</definedName>
    <definedName name="E40M" localSheetId="2">#REF!</definedName>
    <definedName name="E40M">#REF!</definedName>
    <definedName name="E40P" localSheetId="2">#REF!</definedName>
    <definedName name="E40P">#REF!</definedName>
    <definedName name="E41M" localSheetId="2">#REF!</definedName>
    <definedName name="E41M">#REF!</definedName>
    <definedName name="E41P" localSheetId="2">#REF!</definedName>
    <definedName name="E41P">#REF!</definedName>
    <definedName name="E42M" localSheetId="2">#REF!</definedName>
    <definedName name="E42M">#REF!</definedName>
    <definedName name="E42P" localSheetId="2">#REF!</definedName>
    <definedName name="E42P">#REF!</definedName>
    <definedName name="E43M" localSheetId="2">#REF!</definedName>
    <definedName name="E43M">#REF!</definedName>
    <definedName name="E43P" localSheetId="2">#REF!</definedName>
    <definedName name="E43P">#REF!</definedName>
    <definedName name="E44M" localSheetId="2">#REF!</definedName>
    <definedName name="E44M">#REF!</definedName>
    <definedName name="E44P" localSheetId="2">#REF!</definedName>
    <definedName name="E44P">#REF!</definedName>
    <definedName name="E45M" localSheetId="2">#REF!</definedName>
    <definedName name="E45M">#REF!</definedName>
    <definedName name="E45P" localSheetId="2">#REF!</definedName>
    <definedName name="E45P">#REF!</definedName>
    <definedName name="E46M" localSheetId="2">#REF!</definedName>
    <definedName name="E46M">#REF!</definedName>
    <definedName name="E46P" localSheetId="2">#REF!</definedName>
    <definedName name="E46P">#REF!</definedName>
    <definedName name="E47M" localSheetId="2">#REF!</definedName>
    <definedName name="E47M">#REF!</definedName>
    <definedName name="E47P" localSheetId="2">#REF!</definedName>
    <definedName name="E47P">#REF!</definedName>
    <definedName name="E48M" localSheetId="2">#REF!</definedName>
    <definedName name="E48M">#REF!</definedName>
    <definedName name="E48P" localSheetId="2">#REF!</definedName>
    <definedName name="E48P">#REF!</definedName>
    <definedName name="E49M" localSheetId="2">#REF!</definedName>
    <definedName name="E49M">#REF!</definedName>
    <definedName name="E49P" localSheetId="2">#REF!</definedName>
    <definedName name="E49P">#REF!</definedName>
    <definedName name="E4M" localSheetId="2">#REF!</definedName>
    <definedName name="E4M">#REF!</definedName>
    <definedName name="E4P" localSheetId="2">#REF!</definedName>
    <definedName name="E4P">#REF!</definedName>
    <definedName name="E50M" localSheetId="2">#REF!</definedName>
    <definedName name="E50M">#REF!</definedName>
    <definedName name="E50P" localSheetId="2">#REF!</definedName>
    <definedName name="E50P">#REF!</definedName>
    <definedName name="E51E" localSheetId="2">#REF!</definedName>
    <definedName name="E51E">#REF!</definedName>
    <definedName name="E52M" localSheetId="2">#REF!</definedName>
    <definedName name="E52M">#REF!</definedName>
    <definedName name="E52P" localSheetId="2">#REF!</definedName>
    <definedName name="E52P">#REF!</definedName>
    <definedName name="E53M" localSheetId="2">#REF!</definedName>
    <definedName name="E53M">#REF!</definedName>
    <definedName name="E53P" localSheetId="2">#REF!</definedName>
    <definedName name="E53P">#REF!</definedName>
    <definedName name="E54M" localSheetId="2">#REF!</definedName>
    <definedName name="E54M">#REF!</definedName>
    <definedName name="E54P" localSheetId="2">#REF!</definedName>
    <definedName name="E54P">#REF!</definedName>
    <definedName name="E55M" localSheetId="2">#REF!</definedName>
    <definedName name="E55M">#REF!</definedName>
    <definedName name="E55P" localSheetId="2">#REF!</definedName>
    <definedName name="E55P">#REF!</definedName>
    <definedName name="E56M" localSheetId="2">#REF!</definedName>
    <definedName name="E56M">#REF!</definedName>
    <definedName name="E56P" localSheetId="2">#REF!</definedName>
    <definedName name="E56P">#REF!</definedName>
    <definedName name="E57M" localSheetId="2">#REF!</definedName>
    <definedName name="E57M">#REF!</definedName>
    <definedName name="E57P" localSheetId="2">#REF!</definedName>
    <definedName name="E57P">#REF!</definedName>
    <definedName name="E58M" localSheetId="2">#REF!</definedName>
    <definedName name="E58M">#REF!</definedName>
    <definedName name="E58P" localSheetId="2">#REF!</definedName>
    <definedName name="E58P">#REF!</definedName>
    <definedName name="E59M" localSheetId="2">#REF!</definedName>
    <definedName name="E59M">#REF!</definedName>
    <definedName name="E59P" localSheetId="2">#REF!</definedName>
    <definedName name="E59P">#REF!</definedName>
    <definedName name="E5M" localSheetId="2">#REF!</definedName>
    <definedName name="E5M">#REF!</definedName>
    <definedName name="E5P" localSheetId="2">#REF!</definedName>
    <definedName name="E5P">#REF!</definedName>
    <definedName name="E60M" localSheetId="2">#REF!</definedName>
    <definedName name="E60M">#REF!</definedName>
    <definedName name="E60P" localSheetId="2">#REF!</definedName>
    <definedName name="E60P">#REF!</definedName>
    <definedName name="E61M" localSheetId="2">#REF!</definedName>
    <definedName name="E61M">#REF!</definedName>
    <definedName name="E61P" localSheetId="2">#REF!</definedName>
    <definedName name="E61P">#REF!</definedName>
    <definedName name="E62M" localSheetId="2">#REF!</definedName>
    <definedName name="E62M">#REF!</definedName>
    <definedName name="E62P" localSheetId="2">#REF!</definedName>
    <definedName name="E62P">#REF!</definedName>
    <definedName name="E63M" localSheetId="2">#REF!</definedName>
    <definedName name="E63M">#REF!</definedName>
    <definedName name="E63P" localSheetId="2">#REF!</definedName>
    <definedName name="E63P">#REF!</definedName>
    <definedName name="E64M" localSheetId="2">#REF!</definedName>
    <definedName name="E64M">#REF!</definedName>
    <definedName name="E64P" localSheetId="2">#REF!</definedName>
    <definedName name="E64P">#REF!</definedName>
    <definedName name="E65M" localSheetId="2">#REF!</definedName>
    <definedName name="E65M">#REF!</definedName>
    <definedName name="E65P" localSheetId="2">#REF!</definedName>
    <definedName name="E65P">#REF!</definedName>
    <definedName name="E66M" localSheetId="2">#REF!</definedName>
    <definedName name="E66M">#REF!</definedName>
    <definedName name="E66P" localSheetId="2">#REF!</definedName>
    <definedName name="E66P">#REF!</definedName>
    <definedName name="E67M" localSheetId="2">#REF!</definedName>
    <definedName name="E67M">#REF!</definedName>
    <definedName name="E67P" localSheetId="2">#REF!</definedName>
    <definedName name="E67P">#REF!</definedName>
    <definedName name="E68M" localSheetId="2">#REF!</definedName>
    <definedName name="E68M">#REF!</definedName>
    <definedName name="E6M" localSheetId="2">#REF!</definedName>
    <definedName name="E6M">#REF!</definedName>
    <definedName name="E6P" localSheetId="2">#REF!</definedName>
    <definedName name="E6P">#REF!</definedName>
    <definedName name="E7M" localSheetId="2">#REF!</definedName>
    <definedName name="E7M">#REF!</definedName>
    <definedName name="E7P" localSheetId="2">#REF!</definedName>
    <definedName name="E7P">#REF!</definedName>
    <definedName name="E8M" localSheetId="2">#REF!</definedName>
    <definedName name="E8M">#REF!</definedName>
    <definedName name="E8P" localSheetId="2">#REF!</definedName>
    <definedName name="E8P">#REF!</definedName>
    <definedName name="E9M" localSheetId="2">#REF!</definedName>
    <definedName name="E9M">#REF!</definedName>
    <definedName name="E9P" localSheetId="2">#REF!</definedName>
    <definedName name="E9P">#REF!</definedName>
    <definedName name="Ec" localSheetId="2">#REF!</definedName>
    <definedName name="Ec">#REF!</definedName>
    <definedName name="ED" localSheetId="2">#REF!</definedName>
    <definedName name="ED">#REF!</definedName>
    <definedName name="edit__home__del__branch_\f" localSheetId="2">#REF!</definedName>
    <definedName name="edit__home__del__branch_\f">#REF!</definedName>
    <definedName name="ee" localSheetId="2" hidden="1">{#N/A,#N/A,FALSE,"단가표지"}</definedName>
    <definedName name="ee" hidden="1">{#N/A,#N/A,FALSE,"단가표지"}</definedName>
    <definedName name="eee" localSheetId="2">#REF!</definedName>
    <definedName name="eee">#REF!</definedName>
    <definedName name="EL" localSheetId="2">#REF!</definedName>
    <definedName name="EL">#REF!</definedName>
    <definedName name="Email" localSheetId="2">#REF!</definedName>
    <definedName name="Email">#REF!</definedName>
    <definedName name="ENCOST">#N/A</definedName>
    <definedName name="End_Bal" localSheetId="2">#REF!</definedName>
    <definedName name="End_Bal">#REF!</definedName>
    <definedName name="equipment" localSheetId="2">#REF!</definedName>
    <definedName name="equipment">#REF!</definedName>
    <definedName name="equipment_rate" localSheetId="2">#REF!</definedName>
    <definedName name="equipment_rate">#REF!</definedName>
    <definedName name="ERR" localSheetId="2">#REF!</definedName>
    <definedName name="ERR">#REF!</definedName>
    <definedName name="Es" localSheetId="2">#REF!</definedName>
    <definedName name="Es">#REF!</definedName>
    <definedName name="ESRE" localSheetId="2">#REF!</definedName>
    <definedName name="ESRE">#REF!</definedName>
    <definedName name="EXE">#N/A</definedName>
    <definedName name="Extract_MI" localSheetId="2">#REF!</definedName>
    <definedName name="Extract_MI">#REF!</definedName>
    <definedName name="F" localSheetId="2">#REF!</definedName>
    <definedName name="F">#REF!</definedName>
    <definedName name="F_CODE">#N/A</definedName>
    <definedName name="F_CODE1" localSheetId="2">#REF!</definedName>
    <definedName name="F_CODE1">#REF!</definedName>
    <definedName name="F_DES" localSheetId="2">#REF!</definedName>
    <definedName name="F_DES">#REF!</definedName>
    <definedName name="F_DESC">#N/A</definedName>
    <definedName name="F_EQ">#N/A</definedName>
    <definedName name="F_EQ0">#N/A</definedName>
    <definedName name="F_FORM">#N/A</definedName>
    <definedName name="F_INT1">#N/A</definedName>
    <definedName name="F_LA">#N/A</definedName>
    <definedName name="F_LA0">#N/A</definedName>
    <definedName name="F_LVL">#N/A</definedName>
    <definedName name="F_MA">#N/A</definedName>
    <definedName name="F_MA0">#N/A</definedName>
    <definedName name="F_MEMO">#N/A</definedName>
    <definedName name="F_PAGE">#N/A</definedName>
    <definedName name="F_QINC" localSheetId="2">#REF!</definedName>
    <definedName name="F_QINC">#REF!</definedName>
    <definedName name="F_QMOD" localSheetId="2">#REF!</definedName>
    <definedName name="F_QMOD">#REF!</definedName>
    <definedName name="F_QQTY" localSheetId="2">#REF!</definedName>
    <definedName name="F_QQTY">#REF!</definedName>
    <definedName name="F_QUNIT" localSheetId="2">#REF!</definedName>
    <definedName name="F_QUNIT">#REF!</definedName>
    <definedName name="F_QVAL">#N/A</definedName>
    <definedName name="F_REMK">#N/A</definedName>
    <definedName name="F_SEQ">#N/A</definedName>
    <definedName name="F_SIZE">#N/A</definedName>
    <definedName name="F_SOS">#N/A</definedName>
    <definedName name="F_TMOD" localSheetId="2">#REF!</definedName>
    <definedName name="F_TMOD">#REF!</definedName>
    <definedName name="F_TQTY">#N/A</definedName>
    <definedName name="F_TUNIT" localSheetId="2">#REF!</definedName>
    <definedName name="F_TUNIT">#REF!</definedName>
    <definedName name="F_UNIT">#N/A</definedName>
    <definedName name="factor" localSheetId="2">#REF!</definedName>
    <definedName name="factor">#REF!</definedName>
    <definedName name="Fax" localSheetId="2">#REF!</definedName>
    <definedName name="Fax">#REF!</definedName>
    <definedName name="FCode" localSheetId="2" hidden="1">#REF!</definedName>
    <definedName name="FCode" hidden="1">#REF!</definedName>
    <definedName name="FD" localSheetId="2">#REF!</definedName>
    <definedName name="FD">#REF!</definedName>
    <definedName name="FF" localSheetId="2">#REF!</definedName>
    <definedName name="FF">#REF!</definedName>
    <definedName name="FFF" localSheetId="2" hidden="1">{#N/A,#N/A,FALSE,"MARCH"}</definedName>
    <definedName name="FFF" hidden="1">{#N/A,#N/A,FALSE,"MARCH"}</definedName>
    <definedName name="FH" localSheetId="2">#REF!</definedName>
    <definedName name="FH">#REF!</definedName>
    <definedName name="FL" localSheetId="2">#REF!</definedName>
    <definedName name="FL">#REF!</definedName>
    <definedName name="FOUN" localSheetId="2">#REF!</definedName>
    <definedName name="FOUN">#REF!</definedName>
    <definedName name="Foun1">[5]BOQ2!$G$575</definedName>
    <definedName name="FOUND_H" localSheetId="2">#REF!</definedName>
    <definedName name="FOUND_H">#REF!</definedName>
    <definedName name="FReport5" localSheetId="2" hidden="1">{#N/A,#N/A,FALSE,"MARCH"}</definedName>
    <definedName name="FReport5" hidden="1">{#N/A,#N/A,FALSE,"MARCH"}</definedName>
    <definedName name="FU" localSheetId="2">#REF!</definedName>
    <definedName name="FU">#REF!</definedName>
    <definedName name="FUC" localSheetId="2">#REF!</definedName>
    <definedName name="FUC">#REF!</definedName>
    <definedName name="Full_Print" localSheetId="2">#REF!</definedName>
    <definedName name="Full_Print">#REF!</definedName>
    <definedName name="G" localSheetId="2">#REF!</definedName>
    <definedName name="G">#REF!</definedName>
    <definedName name="Gc" localSheetId="2">#REF!</definedName>
    <definedName name="Gc">#REF!</definedName>
    <definedName name="gg" localSheetId="2">#REF!</definedName>
    <definedName name="gg">#REF!</definedName>
    <definedName name="GGG" localSheetId="2" hidden="1">{#N/A,#N/A,FALSE,"조골재"}</definedName>
    <definedName name="GGG" hidden="1">{#N/A,#N/A,FALSE,"조골재"}</definedName>
    <definedName name="Gs" localSheetId="2">#REF!</definedName>
    <definedName name="Gs">#REF!</definedName>
    <definedName name="GST" localSheetId="2">#REF!</definedName>
    <definedName name="GST">#REF!</definedName>
    <definedName name="gus" localSheetId="2">#REF!</definedName>
    <definedName name="gus">#REF!</definedName>
    <definedName name="H" localSheetId="2">#REF!</definedName>
    <definedName name="H">#REF!</definedName>
    <definedName name="H1.0m이하" localSheetId="2">#REF!</definedName>
    <definedName name="H1.0m이하">#REF!</definedName>
    <definedName name="H1.2m" localSheetId="2">#REF!</definedName>
    <definedName name="H1.2m">#REF!</definedName>
    <definedName name="H1.5m" localSheetId="2">#REF!</definedName>
    <definedName name="H1.5m">#REF!</definedName>
    <definedName name="H1.8m" localSheetId="2">#REF!</definedName>
    <definedName name="H1.8m">#REF!</definedName>
    <definedName name="H1H" localSheetId="2">#REF!</definedName>
    <definedName name="H1H">#REF!</definedName>
    <definedName name="H1L" localSheetId="2">#REF!</definedName>
    <definedName name="H1L">#REF!</definedName>
    <definedName name="H1R" localSheetId="2">#REF!</definedName>
    <definedName name="H1R">#REF!</definedName>
    <definedName name="H1WL" localSheetId="2">#REF!</definedName>
    <definedName name="H1WL">#REF!</definedName>
    <definedName name="H1WR" localSheetId="2">#REF!</definedName>
    <definedName name="H1WR">#REF!</definedName>
    <definedName name="H2.0m" localSheetId="2">#REF!</definedName>
    <definedName name="H2.0m">#REF!</definedName>
    <definedName name="H2.5m" localSheetId="2">#REF!</definedName>
    <definedName name="H2.5m">#REF!</definedName>
    <definedName name="H2H" localSheetId="2">#REF!</definedName>
    <definedName name="H2H">#REF!</definedName>
    <definedName name="H2L" localSheetId="2">#REF!</definedName>
    <definedName name="H2L">#REF!</definedName>
    <definedName name="H2R" localSheetId="2">#REF!</definedName>
    <definedName name="H2R">#REF!</definedName>
    <definedName name="H2WL" localSheetId="2">#REF!</definedName>
    <definedName name="H2WL">#REF!</definedName>
    <definedName name="H2WR" localSheetId="2">#REF!</definedName>
    <definedName name="H2WR">#REF!</definedName>
    <definedName name="H3.0m" localSheetId="2">#REF!</definedName>
    <definedName name="H3.0m">#REF!</definedName>
    <definedName name="H3.5m" localSheetId="2">#REF!</definedName>
    <definedName name="H3.5m">#REF!</definedName>
    <definedName name="H3H" localSheetId="2">#REF!</definedName>
    <definedName name="H3H">#REF!</definedName>
    <definedName name="H3L" localSheetId="2">#REF!</definedName>
    <definedName name="H3L">#REF!</definedName>
    <definedName name="H3R" localSheetId="2">#REF!</definedName>
    <definedName name="H3R">#REF!</definedName>
    <definedName name="H3WL" localSheetId="2">#REF!</definedName>
    <definedName name="H3WL">#REF!</definedName>
    <definedName name="H3WR" localSheetId="2">#REF!</definedName>
    <definedName name="H3WR">#REF!</definedName>
    <definedName name="H4.0m" localSheetId="2">#REF!</definedName>
    <definedName name="H4.0m">#REF!</definedName>
    <definedName name="H4.5m" localSheetId="2">#REF!</definedName>
    <definedName name="H4.5m">#REF!</definedName>
    <definedName name="H4H" localSheetId="2">#REF!</definedName>
    <definedName name="H4H">#REF!</definedName>
    <definedName name="H4L" localSheetId="2">#REF!</definedName>
    <definedName name="H4L">#REF!</definedName>
    <definedName name="H4R" localSheetId="2">#REF!</definedName>
    <definedName name="H4R">#REF!</definedName>
    <definedName name="H5.0m" localSheetId="2">#REF!</definedName>
    <definedName name="H5.0m">#REF!</definedName>
    <definedName name="H5H" localSheetId="2">#REF!</definedName>
    <definedName name="H5H">#REF!</definedName>
    <definedName name="H5L" localSheetId="2">#REF!</definedName>
    <definedName name="H5L">#REF!</definedName>
    <definedName name="H5R" localSheetId="2">#REF!</definedName>
    <definedName name="H5R">#REF!</definedName>
    <definedName name="H6H" localSheetId="2">#REF!</definedName>
    <definedName name="H6H">#REF!</definedName>
    <definedName name="H6L" localSheetId="2">#REF!</definedName>
    <definedName name="H6L">#REF!</definedName>
    <definedName name="H6R" localSheetId="2">#REF!</definedName>
    <definedName name="H6R">#REF!</definedName>
    <definedName name="H7H" localSheetId="2">#REF!</definedName>
    <definedName name="H7H">#REF!</definedName>
    <definedName name="H7L" localSheetId="2">#REF!</definedName>
    <definedName name="H7L">#REF!</definedName>
    <definedName name="H7R" localSheetId="2">#REF!</definedName>
    <definedName name="H7R">#REF!</definedName>
    <definedName name="H9A" localSheetId="2">#REF!</definedName>
    <definedName name="H9A">#REF!</definedName>
    <definedName name="HAF" localSheetId="2">#REF!</definedName>
    <definedName name="HAF">#REF!</definedName>
    <definedName name="hanto0" localSheetId="2">#REF!</definedName>
    <definedName name="hanto0">#REF!</definedName>
    <definedName name="hanto1" localSheetId="2">#REF!</definedName>
    <definedName name="hanto1">#REF!</definedName>
    <definedName name="HBV" localSheetId="2">#REF!</definedName>
    <definedName name="HBV">#REF!</definedName>
    <definedName name="HCR" localSheetId="2">#REF!</definedName>
    <definedName name="HCR">#REF!</definedName>
    <definedName name="HDSVP" localSheetId="2">#REF!</definedName>
    <definedName name="HDSVP">#REF!</definedName>
    <definedName name="HEAD">#N/A</definedName>
    <definedName name="Header_Row">ROW(#REF!)</definedName>
    <definedName name="HH" localSheetId="2">#REF!</definedName>
    <definedName name="HH">#REF!</definedName>
    <definedName name="HHAF" localSheetId="2">#REF!</definedName>
    <definedName name="HHAF">#REF!</definedName>
    <definedName name="HHMF" localSheetId="2">#REF!</definedName>
    <definedName name="HHMF">#REF!</definedName>
    <definedName name="HiddenRows" localSheetId="2" hidden="1">#REF!</definedName>
    <definedName name="HiddenRows" hidden="1">#REF!</definedName>
    <definedName name="hjk" localSheetId="2" hidden="1">{#N/A,#N/A,FALSE,"MARCH"}</definedName>
    <definedName name="hjk" hidden="1">{#N/A,#N/A,FALSE,"MARCH"}</definedName>
    <definedName name="HKGKGK" localSheetId="2">#REF!</definedName>
    <definedName name="HKGKGK">#REF!</definedName>
    <definedName name="HL" localSheetId="2">#REF!</definedName>
    <definedName name="HL">#REF!</definedName>
    <definedName name="HMF" localSheetId="2">#REF!</definedName>
    <definedName name="HMF">#REF!</definedName>
    <definedName name="HMOTOR" localSheetId="2">#REF!</definedName>
    <definedName name="HMOTOR">#REF!</definedName>
    <definedName name="HOO" localSheetId="2">#REF!</definedName>
    <definedName name="HOO">#REF!</definedName>
    <definedName name="HPUMP" localSheetId="2">#REF!</definedName>
    <definedName name="HPUMP">#REF!</definedName>
    <definedName name="HR" localSheetId="2">#REF!</definedName>
    <definedName name="HR">#REF!</definedName>
    <definedName name="HSH" localSheetId="2">#REF!</definedName>
    <definedName name="HSH">#REF!</definedName>
    <definedName name="HSV" localSheetId="2">#REF!</definedName>
    <definedName name="HSV">#REF!</definedName>
    <definedName name="HVAFP" localSheetId="2">#REF!</definedName>
    <definedName name="HVAFP">#REF!</definedName>
    <definedName name="HVMF" localSheetId="2">#REF!</definedName>
    <definedName name="HVMF">#REF!</definedName>
    <definedName name="HWEI" localSheetId="2">#REF!</definedName>
    <definedName name="HWEI">#REF!</definedName>
    <definedName name="HWL" localSheetId="2">#REF!</definedName>
    <definedName name="HWL">#REF!</definedName>
    <definedName name="HWR" localSheetId="2">#REF!</definedName>
    <definedName name="HWR">#REF!</definedName>
    <definedName name="ID" localSheetId="2">#REF!,#REF!</definedName>
    <definedName name="ID">#REF!,#REF!</definedName>
    <definedName name="IDW" localSheetId="2">#REF!</definedName>
    <definedName name="IDW">#REF!</definedName>
    <definedName name="ih" localSheetId="2">#REF!</definedName>
    <definedName name="ih">#REF!</definedName>
    <definedName name="ijn" localSheetId="2" hidden="1">{#N/A,#N/A,FALSE,"MARCH"}</definedName>
    <definedName name="ijn" hidden="1">{#N/A,#N/A,FALSE,"MARCH"}</definedName>
    <definedName name="IL" localSheetId="2">#REF!</definedName>
    <definedName name="IL">#REF!</definedName>
    <definedName name="ill" localSheetId="2">#REF!</definedName>
    <definedName name="ill">#REF!</definedName>
    <definedName name="Interest_Rate" localSheetId="2">#REF!</definedName>
    <definedName name="Interest_Rate">#REF!</definedName>
    <definedName name="IPC_07">#REF!</definedName>
    <definedName name="ir_d3" localSheetId="2">#REF!</definedName>
    <definedName name="ir_d3">#REF!</definedName>
    <definedName name="IT" localSheetId="2">#REF!</definedName>
    <definedName name="IT">#REF!</definedName>
    <definedName name="ITNUM">#N/A</definedName>
    <definedName name="IU" localSheetId="2">#REF!</definedName>
    <definedName name="IU">#REF!</definedName>
    <definedName name="iuu" localSheetId="2">#REF!</definedName>
    <definedName name="iuu">#REF!</definedName>
    <definedName name="IUUP" localSheetId="2">#REF!</definedName>
    <definedName name="IUUP">#REF!</definedName>
    <definedName name="IW" localSheetId="2">#REF!</definedName>
    <definedName name="IW">#REF!</definedName>
    <definedName name="j" localSheetId="2">#REF!</definedName>
    <definedName name="j">#REF!</definedName>
    <definedName name="JH" localSheetId="2">#REF!</definedName>
    <definedName name="JH">#REF!</definedName>
    <definedName name="JJ" localSheetId="2">#REF!</definedName>
    <definedName name="JJ">#REF!</definedName>
    <definedName name="jkhjhf" localSheetId="2">#REF!</definedName>
    <definedName name="jkhjhf">#REF!</definedName>
    <definedName name="JLTD">[6]wording!$B$22</definedName>
    <definedName name="July" localSheetId="2">#REF!</definedName>
    <definedName name="July">#REF!</definedName>
    <definedName name="July05" localSheetId="2">#REF!</definedName>
    <definedName name="July05">#REF!</definedName>
    <definedName name="JUNCTION" localSheetId="2">#REF!</definedName>
    <definedName name="JUNCTION">#REF!</definedName>
    <definedName name="June" localSheetId="2">#REF!</definedName>
    <definedName name="June">#REF!</definedName>
    <definedName name="JYH" localSheetId="2">#REF!</definedName>
    <definedName name="JYH">#REF!</definedName>
    <definedName name="K" localSheetId="2">#REF!</definedName>
    <definedName name="K">#REF!</definedName>
    <definedName name="kgj" localSheetId="2" hidden="1">{#N/A,#N/A,FALSE,"MARCH"}</definedName>
    <definedName name="kgj" hidden="1">{#N/A,#N/A,FALSE,"MARCH"}</definedName>
    <definedName name="kij" localSheetId="2" hidden="1">{#N/A,#N/A,FALSE,"MARCH"}</definedName>
    <definedName name="kij" hidden="1">{#N/A,#N/A,FALSE,"MARCH"}</definedName>
    <definedName name="KK" localSheetId="2">#REF!</definedName>
    <definedName name="KK">#REF!</definedName>
    <definedName name="KUIGH" localSheetId="2">#REF!</definedName>
    <definedName name="KUIGH">#REF!</definedName>
    <definedName name="L">#N/A</definedName>
    <definedName name="L10L" localSheetId="2">#REF!</definedName>
    <definedName name="L10L">#REF!</definedName>
    <definedName name="L1L" localSheetId="2">#REF!</definedName>
    <definedName name="L1L">#REF!</definedName>
    <definedName name="L2L" localSheetId="2">#REF!</definedName>
    <definedName name="L2L">#REF!</definedName>
    <definedName name="L3L" localSheetId="2">#REF!</definedName>
    <definedName name="L3L">#REF!</definedName>
    <definedName name="L4L" localSheetId="2">#REF!</definedName>
    <definedName name="L4L">#REF!</definedName>
    <definedName name="L5L" localSheetId="2">#REF!</definedName>
    <definedName name="L5L">#REF!</definedName>
    <definedName name="L6L" localSheetId="2">#REF!</definedName>
    <definedName name="L6L">#REF!</definedName>
    <definedName name="L7L" localSheetId="2">#REF!</definedName>
    <definedName name="L7L">#REF!</definedName>
    <definedName name="L8L" localSheetId="2">#REF!</definedName>
    <definedName name="L8L">#REF!</definedName>
    <definedName name="L9L" localSheetId="2">#REF!</definedName>
    <definedName name="L9L">#REF!</definedName>
    <definedName name="LA" localSheetId="2">#REF!</definedName>
    <definedName name="LA">#REF!</definedName>
    <definedName name="labour" localSheetId="2">#REF!</definedName>
    <definedName name="labour">#REF!</definedName>
    <definedName name="labour_rate" localSheetId="2">#REF!</definedName>
    <definedName name="labour_rate">#REF!</definedName>
    <definedName name="Last_Row">#N/A</definedName>
    <definedName name="LD" localSheetId="2">#REF!</definedName>
    <definedName name="LD">#REF!</definedName>
    <definedName name="lf" localSheetId="2">#REF!</definedName>
    <definedName name="lf">#REF!</definedName>
    <definedName name="LINE" localSheetId="2">#REF!</definedName>
    <definedName name="LINE">#REF!</definedName>
    <definedName name="LL" localSheetId="2">#REF!</definedName>
    <definedName name="LL">#REF!</definedName>
    <definedName name="LLLLLL">[3]BOQ2!$G$573</definedName>
    <definedName name="LMO" localSheetId="2">#REF!</definedName>
    <definedName name="LMO">#REF!</definedName>
    <definedName name="Ln" localSheetId="2">#REF!</definedName>
    <definedName name="Ln">#REF!</definedName>
    <definedName name="Loan_Amount" localSheetId="2">#REF!</definedName>
    <definedName name="Loan_Amount">#REF!</definedName>
    <definedName name="Loan_Start" localSheetId="2">#REF!</definedName>
    <definedName name="Loan_Start">#REF!</definedName>
    <definedName name="Loan_Years" localSheetId="2">#REF!</definedName>
    <definedName name="Loan_Years">#REF!</definedName>
    <definedName name="LPI" localSheetId="2">#REF!</definedName>
    <definedName name="LPI">#REF!</definedName>
    <definedName name="LSH" localSheetId="2">#REF!</definedName>
    <definedName name="LSH">#REF!</definedName>
    <definedName name="LT" localSheetId="2">#REF!</definedName>
    <definedName name="LT">#REF!</definedName>
    <definedName name="LTL" localSheetId="2">#REF!</definedName>
    <definedName name="LTL">#REF!</definedName>
    <definedName name="M">#N/A</definedName>
    <definedName name="M_pl1" localSheetId="2">#REF!</definedName>
    <definedName name="M_pl1">#REF!</definedName>
    <definedName name="material" localSheetId="2">#REF!</definedName>
    <definedName name="material">#REF!</definedName>
    <definedName name="material_rate" localSheetId="2">#REF!</definedName>
    <definedName name="material_rate">#REF!</definedName>
    <definedName name="mattotal" localSheetId="2">#REF!</definedName>
    <definedName name="mattotal">#REF!</definedName>
    <definedName name="May" localSheetId="2" hidden="1">{#N/A,#N/A,FALSE,"MARCH"}</definedName>
    <definedName name="May" hidden="1">{#N/A,#N/A,FALSE,"MARCH"}</definedName>
    <definedName name="MECHANICALCONDITION" localSheetId="2">'[7]PLT-SUM'!#REF!</definedName>
    <definedName name="MECHANICALCONDITION">'[7]PLT-SUM'!#REF!</definedName>
    <definedName name="MEN" localSheetId="2">#REF!</definedName>
    <definedName name="MEN">#REF!</definedName>
    <definedName name="MENU1" localSheetId="2">#REF!</definedName>
    <definedName name="MENU1">#REF!</definedName>
    <definedName name="MENU2" localSheetId="2">#REF!</definedName>
    <definedName name="MENU2">#REF!</definedName>
    <definedName name="MISC" localSheetId="2">#REF!</definedName>
    <definedName name="MISC">#REF!</definedName>
    <definedName name="MISC1">[5]BOQ2!$G$579</definedName>
    <definedName name="MON" localSheetId="2">#REF!</definedName>
    <definedName name="MON">#REF!</definedName>
    <definedName name="MONEY" localSheetId="2">#REF!,#REF!</definedName>
    <definedName name="MONEY">#REF!,#REF!</definedName>
    <definedName name="MOTOR" localSheetId="2">#REF!</definedName>
    <definedName name="MOTOR">#REF!</definedName>
    <definedName name="mp_data">'[4]BOQ Summary'!$DO$2:$EM$383</definedName>
    <definedName name="MS" localSheetId="2">#REF!</definedName>
    <definedName name="MS">#REF!</definedName>
    <definedName name="MyRange" localSheetId="2">#REF!</definedName>
    <definedName name="MyRange">#REF!</definedName>
    <definedName name="MyRange_2" localSheetId="2">#REF!</definedName>
    <definedName name="MyRange_2">#REF!</definedName>
    <definedName name="N" localSheetId="2">#REF!</definedName>
    <definedName name="N">#REF!</definedName>
    <definedName name="N1S" localSheetId="2">#REF!</definedName>
    <definedName name="N1S">#REF!</definedName>
    <definedName name="N2S" localSheetId="2">#REF!</definedName>
    <definedName name="N2S">#REF!</definedName>
    <definedName name="N3S" localSheetId="2">#REF!</definedName>
    <definedName name="N3S">#REF!</definedName>
    <definedName name="NAK">#N/A</definedName>
    <definedName name="NDO" localSheetId="2">#REF!</definedName>
    <definedName name="NDO">#REF!</definedName>
    <definedName name="NEW" localSheetId="2">#REF!</definedName>
    <definedName name="new">#REF!</definedName>
    <definedName name="nn" localSheetId="2">#REF!</definedName>
    <definedName name="nn">#REF!</definedName>
    <definedName name="NPI" localSheetId="2">#REF!</definedName>
    <definedName name="NPI">#REF!</definedName>
    <definedName name="NSH" localSheetId="2">#REF!</definedName>
    <definedName name="NSH">#REF!</definedName>
    <definedName name="NSO" localSheetId="2">#REF!</definedName>
    <definedName name="NSO">#REF!</definedName>
    <definedName name="O" localSheetId="2">#REF!</definedName>
    <definedName name="O">#REF!</definedName>
    <definedName name="º¸Ce" localSheetId="2">#REF!</definedName>
    <definedName name="º¸Ce">#REF!</definedName>
    <definedName name="º¸Çè" localSheetId="2">#REF!</definedName>
    <definedName name="º¸Çè">#REF!</definedName>
    <definedName name="October" localSheetId="2">#REF!</definedName>
    <definedName name="October">#REF!</definedName>
    <definedName name="OO">#N/A</definedName>
    <definedName name="OrderTable" localSheetId="2" hidden="1">#REF!</definedName>
    <definedName name="OrderTable" hidden="1">#REF!</definedName>
    <definedName name="P">#N/A</definedName>
    <definedName name="P100E" localSheetId="2">#REF!</definedName>
    <definedName name="P100E">#REF!</definedName>
    <definedName name="P100L" localSheetId="2">#REF!</definedName>
    <definedName name="P100L">#REF!</definedName>
    <definedName name="P100M" localSheetId="2">#REF!</definedName>
    <definedName name="P100M">#REF!</definedName>
    <definedName name="P101E" localSheetId="2">#REF!</definedName>
    <definedName name="P101E">#REF!</definedName>
    <definedName name="P101L" localSheetId="2">#REF!</definedName>
    <definedName name="P101L">#REF!</definedName>
    <definedName name="P101M" localSheetId="2">#REF!</definedName>
    <definedName name="P101M">#REF!</definedName>
    <definedName name="P102E" localSheetId="2">#REF!</definedName>
    <definedName name="P102E">#REF!</definedName>
    <definedName name="P102L" localSheetId="2">#REF!</definedName>
    <definedName name="P102L">#REF!</definedName>
    <definedName name="P102M" localSheetId="2">#REF!</definedName>
    <definedName name="P102M">#REF!</definedName>
    <definedName name="P103E" localSheetId="2">#REF!</definedName>
    <definedName name="P103E">#REF!</definedName>
    <definedName name="P103L" localSheetId="2">#REF!</definedName>
    <definedName name="P103L">#REF!</definedName>
    <definedName name="P103M" localSheetId="2">#REF!</definedName>
    <definedName name="P103M">#REF!</definedName>
    <definedName name="P104E" localSheetId="2">#REF!</definedName>
    <definedName name="P104E">#REF!</definedName>
    <definedName name="P104L" localSheetId="2">#REF!</definedName>
    <definedName name="P104L">#REF!</definedName>
    <definedName name="P104M" localSheetId="2">#REF!</definedName>
    <definedName name="P104M">#REF!</definedName>
    <definedName name="P105E" localSheetId="2">#REF!</definedName>
    <definedName name="P105E">#REF!</definedName>
    <definedName name="P105L" localSheetId="2">#REF!</definedName>
    <definedName name="P105L">#REF!</definedName>
    <definedName name="P105M" localSheetId="2">#REF!</definedName>
    <definedName name="P105M">#REF!</definedName>
    <definedName name="P106E" localSheetId="2">#REF!</definedName>
    <definedName name="P106E">#REF!</definedName>
    <definedName name="P106L" localSheetId="2">#REF!</definedName>
    <definedName name="P106L">#REF!</definedName>
    <definedName name="P106M" localSheetId="2">#REF!</definedName>
    <definedName name="P106M">#REF!</definedName>
    <definedName name="P107E" localSheetId="2">#REF!</definedName>
    <definedName name="P107E">#REF!</definedName>
    <definedName name="P107L" localSheetId="2">#REF!</definedName>
    <definedName name="P107L">#REF!</definedName>
    <definedName name="P107M" localSheetId="2">#REF!</definedName>
    <definedName name="P107M">#REF!</definedName>
    <definedName name="P108E" localSheetId="2">#REF!</definedName>
    <definedName name="P108E">#REF!</definedName>
    <definedName name="P108L" localSheetId="2">#REF!</definedName>
    <definedName name="P108L">#REF!</definedName>
    <definedName name="P108M" localSheetId="2">#REF!</definedName>
    <definedName name="P108M">#REF!</definedName>
    <definedName name="P109E" localSheetId="2">#REF!</definedName>
    <definedName name="P109E">#REF!</definedName>
    <definedName name="P109L" localSheetId="2">#REF!</definedName>
    <definedName name="P109L">#REF!</definedName>
    <definedName name="P109M" localSheetId="2">#REF!</definedName>
    <definedName name="P109M">#REF!</definedName>
    <definedName name="P10E" localSheetId="2">#REF!</definedName>
    <definedName name="P10E">#REF!</definedName>
    <definedName name="P10L" localSheetId="2">#REF!</definedName>
    <definedName name="P10L">#REF!</definedName>
    <definedName name="P10M" localSheetId="2">#REF!</definedName>
    <definedName name="P10M">#REF!</definedName>
    <definedName name="P110E" localSheetId="2">#REF!</definedName>
    <definedName name="P110E">#REF!</definedName>
    <definedName name="P110L" localSheetId="2">#REF!</definedName>
    <definedName name="P110L">#REF!</definedName>
    <definedName name="P110M" localSheetId="2">#REF!</definedName>
    <definedName name="P110M">#REF!</definedName>
    <definedName name="P111E" localSheetId="2">#REF!</definedName>
    <definedName name="P111E">#REF!</definedName>
    <definedName name="P111L" localSheetId="2">#REF!</definedName>
    <definedName name="P111L">#REF!</definedName>
    <definedName name="P111M" localSheetId="2">#REF!</definedName>
    <definedName name="P111M">#REF!</definedName>
    <definedName name="P112E" localSheetId="2">#REF!</definedName>
    <definedName name="P112E">#REF!</definedName>
    <definedName name="P112L" localSheetId="2">#REF!</definedName>
    <definedName name="P112L">#REF!</definedName>
    <definedName name="P112M" localSheetId="2">#REF!</definedName>
    <definedName name="P112M">#REF!</definedName>
    <definedName name="P113E" localSheetId="2">#REF!</definedName>
    <definedName name="P113E">#REF!</definedName>
    <definedName name="P113L" localSheetId="2">#REF!</definedName>
    <definedName name="P113L">#REF!</definedName>
    <definedName name="P113M" localSheetId="2">#REF!</definedName>
    <definedName name="P113M">#REF!</definedName>
    <definedName name="P114E" localSheetId="2">#REF!</definedName>
    <definedName name="P114E">#REF!</definedName>
    <definedName name="P114L" localSheetId="2">#REF!</definedName>
    <definedName name="P114L">#REF!</definedName>
    <definedName name="P114M" localSheetId="2">#REF!</definedName>
    <definedName name="P114M">#REF!</definedName>
    <definedName name="P115E" localSheetId="2">#REF!</definedName>
    <definedName name="P115E">#REF!</definedName>
    <definedName name="P115L" localSheetId="2">#REF!</definedName>
    <definedName name="P115L">#REF!</definedName>
    <definedName name="P115M" localSheetId="2">#REF!</definedName>
    <definedName name="P115M">#REF!</definedName>
    <definedName name="P116E" localSheetId="2">#REF!</definedName>
    <definedName name="P116E">#REF!</definedName>
    <definedName name="P116L" localSheetId="2">#REF!</definedName>
    <definedName name="P116L">#REF!</definedName>
    <definedName name="P116M" localSheetId="2">#REF!</definedName>
    <definedName name="P116M">#REF!</definedName>
    <definedName name="P117E" localSheetId="2">#REF!</definedName>
    <definedName name="P117E">#REF!</definedName>
    <definedName name="P117L" localSheetId="2">#REF!</definedName>
    <definedName name="P117L">#REF!</definedName>
    <definedName name="P117M" localSheetId="2">#REF!</definedName>
    <definedName name="P117M">#REF!</definedName>
    <definedName name="P118E" localSheetId="2">#REF!</definedName>
    <definedName name="P118E">#REF!</definedName>
    <definedName name="P118L" localSheetId="2">#REF!</definedName>
    <definedName name="P118L">#REF!</definedName>
    <definedName name="P118M" localSheetId="2">#REF!</definedName>
    <definedName name="P118M">#REF!</definedName>
    <definedName name="P119E" localSheetId="2">#REF!</definedName>
    <definedName name="P119E">#REF!</definedName>
    <definedName name="P119L" localSheetId="2">#REF!</definedName>
    <definedName name="P119L">#REF!</definedName>
    <definedName name="P119M" localSheetId="2">#REF!</definedName>
    <definedName name="P119M">#REF!</definedName>
    <definedName name="P11E" localSheetId="2">#REF!</definedName>
    <definedName name="P11E">#REF!</definedName>
    <definedName name="P11L" localSheetId="2">#REF!</definedName>
    <definedName name="P11L">#REF!</definedName>
    <definedName name="P11M" localSheetId="2">#REF!</definedName>
    <definedName name="P11M">#REF!</definedName>
    <definedName name="P120E" localSheetId="2">#REF!</definedName>
    <definedName name="P120E">#REF!</definedName>
    <definedName name="P120L" localSheetId="2">#REF!</definedName>
    <definedName name="P120L">#REF!</definedName>
    <definedName name="P120M" localSheetId="2">#REF!</definedName>
    <definedName name="P120M">#REF!</definedName>
    <definedName name="P121E" localSheetId="2">#REF!</definedName>
    <definedName name="P121E">#REF!</definedName>
    <definedName name="P121L" localSheetId="2">#REF!</definedName>
    <definedName name="P121L">#REF!</definedName>
    <definedName name="P121M" localSheetId="2">#REF!</definedName>
    <definedName name="P121M">#REF!</definedName>
    <definedName name="P122E" localSheetId="2">#REF!</definedName>
    <definedName name="P122E">#REF!</definedName>
    <definedName name="P122L" localSheetId="2">#REF!</definedName>
    <definedName name="P122L">#REF!</definedName>
    <definedName name="P122M" localSheetId="2">#REF!</definedName>
    <definedName name="P122M">#REF!</definedName>
    <definedName name="P123E" localSheetId="2">#REF!</definedName>
    <definedName name="P123E">#REF!</definedName>
    <definedName name="P123L" localSheetId="2">#REF!</definedName>
    <definedName name="P123L">#REF!</definedName>
    <definedName name="P123M" localSheetId="2">#REF!</definedName>
    <definedName name="P123M">#REF!</definedName>
    <definedName name="P124E" localSheetId="2">#REF!</definedName>
    <definedName name="P124E">#REF!</definedName>
    <definedName name="P124L" localSheetId="2">#REF!</definedName>
    <definedName name="P124L">#REF!</definedName>
    <definedName name="P124M" localSheetId="2">#REF!</definedName>
    <definedName name="P124M">#REF!</definedName>
    <definedName name="P125E" localSheetId="2">#REF!</definedName>
    <definedName name="P125E">#REF!</definedName>
    <definedName name="P125L" localSheetId="2">#REF!</definedName>
    <definedName name="P125L">#REF!</definedName>
    <definedName name="P125M" localSheetId="2">#REF!</definedName>
    <definedName name="P125M">#REF!</definedName>
    <definedName name="P126E" localSheetId="2">#REF!</definedName>
    <definedName name="P126E">#REF!</definedName>
    <definedName name="P126L" localSheetId="2">#REF!</definedName>
    <definedName name="P126L">#REF!</definedName>
    <definedName name="P126M" localSheetId="2">#REF!</definedName>
    <definedName name="P126M">#REF!</definedName>
    <definedName name="P12E" localSheetId="2">#REF!</definedName>
    <definedName name="P12E">#REF!</definedName>
    <definedName name="P12L" localSheetId="2">#REF!</definedName>
    <definedName name="P12L">#REF!</definedName>
    <definedName name="P12M" localSheetId="2">#REF!</definedName>
    <definedName name="P12M">#REF!</definedName>
    <definedName name="P13E" localSheetId="2">#REF!</definedName>
    <definedName name="P13E">#REF!</definedName>
    <definedName name="P13L" localSheetId="2">#REF!</definedName>
    <definedName name="P13L">#REF!</definedName>
    <definedName name="P13M" localSheetId="2">#REF!</definedName>
    <definedName name="P13M">#REF!</definedName>
    <definedName name="P14E" localSheetId="2">#REF!</definedName>
    <definedName name="P14E">#REF!</definedName>
    <definedName name="P14L" localSheetId="2">#REF!</definedName>
    <definedName name="P14L">#REF!</definedName>
    <definedName name="P14M" localSheetId="2">#REF!</definedName>
    <definedName name="P14M">#REF!</definedName>
    <definedName name="P15E" localSheetId="2">#REF!</definedName>
    <definedName name="P15E">#REF!</definedName>
    <definedName name="P15L" localSheetId="2">#REF!</definedName>
    <definedName name="P15L">#REF!</definedName>
    <definedName name="P15M" localSheetId="2">#REF!</definedName>
    <definedName name="P15M">#REF!</definedName>
    <definedName name="P16E" localSheetId="2">#REF!</definedName>
    <definedName name="P16E">#REF!</definedName>
    <definedName name="P16L" localSheetId="2">#REF!</definedName>
    <definedName name="P16L">#REF!</definedName>
    <definedName name="P16M" localSheetId="2">#REF!</definedName>
    <definedName name="P16M">#REF!</definedName>
    <definedName name="P17E" localSheetId="2">#REF!</definedName>
    <definedName name="P17E">#REF!</definedName>
    <definedName name="P17L" localSheetId="2">#REF!</definedName>
    <definedName name="P17L">#REF!</definedName>
    <definedName name="P17M" localSheetId="2">#REF!</definedName>
    <definedName name="P17M">#REF!</definedName>
    <definedName name="P18E" localSheetId="2">#REF!</definedName>
    <definedName name="P18E">#REF!</definedName>
    <definedName name="P18L" localSheetId="2">#REF!</definedName>
    <definedName name="P18L">#REF!</definedName>
    <definedName name="P18M" localSheetId="2">#REF!</definedName>
    <definedName name="P18M">#REF!</definedName>
    <definedName name="P19E" localSheetId="2">#REF!</definedName>
    <definedName name="P19E">#REF!</definedName>
    <definedName name="P19L" localSheetId="2">#REF!</definedName>
    <definedName name="P19L">#REF!</definedName>
    <definedName name="P19M" localSheetId="2">#REF!</definedName>
    <definedName name="P19M">#REF!</definedName>
    <definedName name="P1E" localSheetId="2">#REF!</definedName>
    <definedName name="P1E">#REF!</definedName>
    <definedName name="P1L" localSheetId="2">#REF!</definedName>
    <definedName name="P1L">#REF!</definedName>
    <definedName name="P1M" localSheetId="2">#REF!</definedName>
    <definedName name="P1M">#REF!</definedName>
    <definedName name="P20E" localSheetId="2">#REF!</definedName>
    <definedName name="P20E">#REF!</definedName>
    <definedName name="P20L" localSheetId="2">#REF!</definedName>
    <definedName name="P20L">#REF!</definedName>
    <definedName name="P20M" localSheetId="2">#REF!</definedName>
    <definedName name="P20M">#REF!</definedName>
    <definedName name="P21E" localSheetId="2">#REF!</definedName>
    <definedName name="P21E">#REF!</definedName>
    <definedName name="P21L" localSheetId="2">#REF!</definedName>
    <definedName name="P21L">#REF!</definedName>
    <definedName name="P21M" localSheetId="2">#REF!</definedName>
    <definedName name="P21M">#REF!</definedName>
    <definedName name="P22E" localSheetId="2">#REF!</definedName>
    <definedName name="P22E">#REF!</definedName>
    <definedName name="P22L" localSheetId="2">#REF!</definedName>
    <definedName name="P22L">#REF!</definedName>
    <definedName name="P22M" localSheetId="2">#REF!</definedName>
    <definedName name="P22M">#REF!</definedName>
    <definedName name="P23E" localSheetId="2">#REF!</definedName>
    <definedName name="P23E">#REF!</definedName>
    <definedName name="P23L" localSheetId="2">#REF!</definedName>
    <definedName name="P23L">#REF!</definedName>
    <definedName name="P23M" localSheetId="2">#REF!</definedName>
    <definedName name="P23M">#REF!</definedName>
    <definedName name="P24E" localSheetId="2">#REF!</definedName>
    <definedName name="P24E">#REF!</definedName>
    <definedName name="P24L" localSheetId="2">#REF!</definedName>
    <definedName name="P24L">#REF!</definedName>
    <definedName name="P24M" localSheetId="2">#REF!</definedName>
    <definedName name="P24M">#REF!</definedName>
    <definedName name="P25E" localSheetId="2">#REF!</definedName>
    <definedName name="P25E">#REF!</definedName>
    <definedName name="P25L" localSheetId="2">#REF!</definedName>
    <definedName name="P25L">#REF!</definedName>
    <definedName name="P25M" localSheetId="2">#REF!</definedName>
    <definedName name="P25M">#REF!</definedName>
    <definedName name="P26E" localSheetId="2">#REF!</definedName>
    <definedName name="P26E">#REF!</definedName>
    <definedName name="P26L" localSheetId="2">#REF!</definedName>
    <definedName name="P26L">#REF!</definedName>
    <definedName name="P26M" localSheetId="2">#REF!</definedName>
    <definedName name="P26M">#REF!</definedName>
    <definedName name="P27E" localSheetId="2">#REF!</definedName>
    <definedName name="P27E">#REF!</definedName>
    <definedName name="P27L" localSheetId="2">#REF!</definedName>
    <definedName name="P27L">#REF!</definedName>
    <definedName name="P27M" localSheetId="2">#REF!</definedName>
    <definedName name="P27M">#REF!</definedName>
    <definedName name="P28E" localSheetId="2">#REF!</definedName>
    <definedName name="P28E">#REF!</definedName>
    <definedName name="P28L" localSheetId="2">#REF!</definedName>
    <definedName name="P28L">#REF!</definedName>
    <definedName name="P28M" localSheetId="2">#REF!</definedName>
    <definedName name="P28M">#REF!</definedName>
    <definedName name="P29E" localSheetId="2">#REF!</definedName>
    <definedName name="P29E">#REF!</definedName>
    <definedName name="P29L" localSheetId="2">#REF!</definedName>
    <definedName name="P29L">#REF!</definedName>
    <definedName name="P29M" localSheetId="2">#REF!</definedName>
    <definedName name="P29M">#REF!</definedName>
    <definedName name="P2E" localSheetId="2">#REF!</definedName>
    <definedName name="P2E">#REF!</definedName>
    <definedName name="P2L" localSheetId="2">#REF!</definedName>
    <definedName name="P2L">#REF!</definedName>
    <definedName name="P2M" localSheetId="2">#REF!</definedName>
    <definedName name="P2M">#REF!</definedName>
    <definedName name="P30E" localSheetId="2">#REF!</definedName>
    <definedName name="P30E">#REF!</definedName>
    <definedName name="P30L" localSheetId="2">#REF!</definedName>
    <definedName name="P30L">#REF!</definedName>
    <definedName name="P30M" localSheetId="2">#REF!</definedName>
    <definedName name="P30M">#REF!</definedName>
    <definedName name="P31E" localSheetId="2">#REF!</definedName>
    <definedName name="P31E">#REF!</definedName>
    <definedName name="P31L" localSheetId="2">#REF!</definedName>
    <definedName name="P31L">#REF!</definedName>
    <definedName name="P31M" localSheetId="2">#REF!</definedName>
    <definedName name="P31M">#REF!</definedName>
    <definedName name="P32E" localSheetId="2">#REF!</definedName>
    <definedName name="P32E">#REF!</definedName>
    <definedName name="P32L" localSheetId="2">#REF!</definedName>
    <definedName name="P32L">#REF!</definedName>
    <definedName name="P32M" localSheetId="2">#REF!</definedName>
    <definedName name="P32M">#REF!</definedName>
    <definedName name="P33E" localSheetId="2">#REF!</definedName>
    <definedName name="P33E">#REF!</definedName>
    <definedName name="P33L" localSheetId="2">#REF!</definedName>
    <definedName name="P33L">#REF!</definedName>
    <definedName name="P33M" localSheetId="2">#REF!</definedName>
    <definedName name="P33M">#REF!</definedName>
    <definedName name="P34E" localSheetId="2">#REF!</definedName>
    <definedName name="P34E">#REF!</definedName>
    <definedName name="P34L" localSheetId="2">#REF!</definedName>
    <definedName name="P34L">#REF!</definedName>
    <definedName name="P34M" localSheetId="2">#REF!</definedName>
    <definedName name="P34M">#REF!</definedName>
    <definedName name="P35E" localSheetId="2">#REF!</definedName>
    <definedName name="P35E">#REF!</definedName>
    <definedName name="P35L" localSheetId="2">#REF!</definedName>
    <definedName name="P35L">#REF!</definedName>
    <definedName name="P35M" localSheetId="2">#REF!</definedName>
    <definedName name="P35M">#REF!</definedName>
    <definedName name="P36E" localSheetId="2">#REF!</definedName>
    <definedName name="P36E">#REF!</definedName>
    <definedName name="P36L" localSheetId="2">#REF!</definedName>
    <definedName name="P36L">#REF!</definedName>
    <definedName name="P36M" localSheetId="2">#REF!</definedName>
    <definedName name="P36M">#REF!</definedName>
    <definedName name="P37E" localSheetId="2">#REF!</definedName>
    <definedName name="P37E">#REF!</definedName>
    <definedName name="P37L" localSheetId="2">#REF!</definedName>
    <definedName name="P37L">#REF!</definedName>
    <definedName name="P37M" localSheetId="2">#REF!</definedName>
    <definedName name="P37M">#REF!</definedName>
    <definedName name="P38E" localSheetId="2">#REF!</definedName>
    <definedName name="P38E">#REF!</definedName>
    <definedName name="P38L" localSheetId="2">#REF!</definedName>
    <definedName name="P38L">#REF!</definedName>
    <definedName name="P38M" localSheetId="2">#REF!</definedName>
    <definedName name="P38M">#REF!</definedName>
    <definedName name="P39E" localSheetId="2">#REF!</definedName>
    <definedName name="P39E">#REF!</definedName>
    <definedName name="P39L" localSheetId="2">#REF!</definedName>
    <definedName name="P39L">#REF!</definedName>
    <definedName name="P39M" localSheetId="2">#REF!</definedName>
    <definedName name="P39M">#REF!</definedName>
    <definedName name="P3E" localSheetId="2">#REF!</definedName>
    <definedName name="P3E">#REF!</definedName>
    <definedName name="P3L" localSheetId="2">#REF!</definedName>
    <definedName name="P3L">#REF!</definedName>
    <definedName name="P3M" localSheetId="2">#REF!</definedName>
    <definedName name="P3M">#REF!</definedName>
    <definedName name="P40E" localSheetId="2">#REF!</definedName>
    <definedName name="P40E">#REF!</definedName>
    <definedName name="P40L" localSheetId="2">#REF!</definedName>
    <definedName name="P40L">#REF!</definedName>
    <definedName name="P40M" localSheetId="2">#REF!</definedName>
    <definedName name="P40M">#REF!</definedName>
    <definedName name="P41E" localSheetId="2">#REF!</definedName>
    <definedName name="P41E">#REF!</definedName>
    <definedName name="P41L" localSheetId="2">#REF!</definedName>
    <definedName name="P41L">#REF!</definedName>
    <definedName name="P41M" localSheetId="2">#REF!</definedName>
    <definedName name="P41M">#REF!</definedName>
    <definedName name="P42E" localSheetId="2">#REF!</definedName>
    <definedName name="P42E">#REF!</definedName>
    <definedName name="P42L" localSheetId="2">#REF!</definedName>
    <definedName name="P42L">#REF!</definedName>
    <definedName name="P42M" localSheetId="2">#REF!</definedName>
    <definedName name="P42M">#REF!</definedName>
    <definedName name="P43E" localSheetId="2">#REF!</definedName>
    <definedName name="P43E">#REF!</definedName>
    <definedName name="P43L" localSheetId="2">#REF!</definedName>
    <definedName name="P43L">#REF!</definedName>
    <definedName name="P43M" localSheetId="2">#REF!</definedName>
    <definedName name="P43M">#REF!</definedName>
    <definedName name="P44E" localSheetId="2">#REF!</definedName>
    <definedName name="P44E">#REF!</definedName>
    <definedName name="P44L" localSheetId="2">#REF!</definedName>
    <definedName name="P44L">#REF!</definedName>
    <definedName name="P44M" localSheetId="2">#REF!</definedName>
    <definedName name="P44M">#REF!</definedName>
    <definedName name="P45E" localSheetId="2">#REF!</definedName>
    <definedName name="P45E">#REF!</definedName>
    <definedName name="P45L" localSheetId="2">#REF!</definedName>
    <definedName name="P45L">#REF!</definedName>
    <definedName name="P45M" localSheetId="2">#REF!</definedName>
    <definedName name="P45M">#REF!</definedName>
    <definedName name="P46E" localSheetId="2">#REF!</definedName>
    <definedName name="P46E">#REF!</definedName>
    <definedName name="P46L" localSheetId="2">#REF!</definedName>
    <definedName name="P46L">#REF!</definedName>
    <definedName name="P46M" localSheetId="2">#REF!</definedName>
    <definedName name="P46M">#REF!</definedName>
    <definedName name="P47E" localSheetId="2">#REF!</definedName>
    <definedName name="P47E">#REF!</definedName>
    <definedName name="P47L" localSheetId="2">#REF!</definedName>
    <definedName name="P47L">#REF!</definedName>
    <definedName name="P47M" localSheetId="2">#REF!</definedName>
    <definedName name="P47M">#REF!</definedName>
    <definedName name="P48E" localSheetId="2">#REF!</definedName>
    <definedName name="P48E">#REF!</definedName>
    <definedName name="P48L" localSheetId="2">#REF!</definedName>
    <definedName name="P48L">#REF!</definedName>
    <definedName name="P48M" localSheetId="2">#REF!</definedName>
    <definedName name="P48M">#REF!</definedName>
    <definedName name="P49E" localSheetId="2">#REF!</definedName>
    <definedName name="P49E">#REF!</definedName>
    <definedName name="P49L" localSheetId="2">#REF!</definedName>
    <definedName name="P49L">#REF!</definedName>
    <definedName name="P49M" localSheetId="2">#REF!</definedName>
    <definedName name="P49M">#REF!</definedName>
    <definedName name="P4E" localSheetId="2">#REF!</definedName>
    <definedName name="P4E">#REF!</definedName>
    <definedName name="P4L" localSheetId="2">#REF!</definedName>
    <definedName name="P4L">#REF!</definedName>
    <definedName name="P4M" localSheetId="2">#REF!</definedName>
    <definedName name="P4M">#REF!</definedName>
    <definedName name="P50E" localSheetId="2">#REF!</definedName>
    <definedName name="P50E">#REF!</definedName>
    <definedName name="P50L" localSheetId="2">#REF!</definedName>
    <definedName name="P50L">#REF!</definedName>
    <definedName name="P50M" localSheetId="2">#REF!</definedName>
    <definedName name="P50M">#REF!</definedName>
    <definedName name="P51E" localSheetId="2">#REF!</definedName>
    <definedName name="P51E">#REF!</definedName>
    <definedName name="P51L" localSheetId="2">#REF!</definedName>
    <definedName name="P51L">#REF!</definedName>
    <definedName name="P51M" localSheetId="2">#REF!</definedName>
    <definedName name="P51M">#REF!</definedName>
    <definedName name="P52E" localSheetId="2">#REF!</definedName>
    <definedName name="P52E">#REF!</definedName>
    <definedName name="P52L" localSheetId="2">#REF!</definedName>
    <definedName name="P52L">#REF!</definedName>
    <definedName name="P52M" localSheetId="2">#REF!</definedName>
    <definedName name="P52M">#REF!</definedName>
    <definedName name="P53E" localSheetId="2">#REF!</definedName>
    <definedName name="P53E">#REF!</definedName>
    <definedName name="P53L" localSheetId="2">#REF!</definedName>
    <definedName name="P53L">#REF!</definedName>
    <definedName name="P53M" localSheetId="2">#REF!</definedName>
    <definedName name="P53M">#REF!</definedName>
    <definedName name="P54E" localSheetId="2">#REF!</definedName>
    <definedName name="P54E">#REF!</definedName>
    <definedName name="P54L" localSheetId="2">#REF!</definedName>
    <definedName name="P54L">#REF!</definedName>
    <definedName name="P54M" localSheetId="2">#REF!</definedName>
    <definedName name="P54M">#REF!</definedName>
    <definedName name="P55E" localSheetId="2">#REF!</definedName>
    <definedName name="P55E">#REF!</definedName>
    <definedName name="P55L" localSheetId="2">#REF!</definedName>
    <definedName name="P55L">#REF!</definedName>
    <definedName name="P55M" localSheetId="2">#REF!</definedName>
    <definedName name="P55M">#REF!</definedName>
    <definedName name="P56E" localSheetId="2">#REF!</definedName>
    <definedName name="P56E">#REF!</definedName>
    <definedName name="P56L" localSheetId="2">#REF!</definedName>
    <definedName name="P56L">#REF!</definedName>
    <definedName name="P56M" localSheetId="2">#REF!</definedName>
    <definedName name="P56M">#REF!</definedName>
    <definedName name="P57E" localSheetId="2">#REF!</definedName>
    <definedName name="P57E">#REF!</definedName>
    <definedName name="P57L" localSheetId="2">#REF!</definedName>
    <definedName name="P57L">#REF!</definedName>
    <definedName name="P57M" localSheetId="2">#REF!</definedName>
    <definedName name="P57M">#REF!</definedName>
    <definedName name="P58E" localSheetId="2">#REF!</definedName>
    <definedName name="P58E">#REF!</definedName>
    <definedName name="P58L" localSheetId="2">#REF!</definedName>
    <definedName name="P58L">#REF!</definedName>
    <definedName name="P58M" localSheetId="2">#REF!</definedName>
    <definedName name="P58M">#REF!</definedName>
    <definedName name="P59E" localSheetId="2">#REF!</definedName>
    <definedName name="P59E">#REF!</definedName>
    <definedName name="P59L" localSheetId="2">#REF!</definedName>
    <definedName name="P59L">#REF!</definedName>
    <definedName name="P59M" localSheetId="2">#REF!</definedName>
    <definedName name="P59M">#REF!</definedName>
    <definedName name="P5E" localSheetId="2">#REF!</definedName>
    <definedName name="P5E">#REF!</definedName>
    <definedName name="P5L" localSheetId="2">#REF!</definedName>
    <definedName name="P5L">#REF!</definedName>
    <definedName name="P5M" localSheetId="2">#REF!</definedName>
    <definedName name="P5M">#REF!</definedName>
    <definedName name="P60E" localSheetId="2">#REF!</definedName>
    <definedName name="P60E">#REF!</definedName>
    <definedName name="P60L" localSheetId="2">#REF!</definedName>
    <definedName name="P60L">#REF!</definedName>
    <definedName name="P60M" localSheetId="2">#REF!</definedName>
    <definedName name="P60M">#REF!</definedName>
    <definedName name="P61E" localSheetId="2">#REF!</definedName>
    <definedName name="P61E">#REF!</definedName>
    <definedName name="P61L" localSheetId="2">#REF!</definedName>
    <definedName name="P61L">#REF!</definedName>
    <definedName name="P61M" localSheetId="2">#REF!</definedName>
    <definedName name="P61M">#REF!</definedName>
    <definedName name="P62E" localSheetId="2">#REF!</definedName>
    <definedName name="P62E">#REF!</definedName>
    <definedName name="P62L" localSheetId="2">#REF!</definedName>
    <definedName name="P62L">#REF!</definedName>
    <definedName name="P62M" localSheetId="2">#REF!</definedName>
    <definedName name="P62M">#REF!</definedName>
    <definedName name="P63E" localSheetId="2">#REF!</definedName>
    <definedName name="P63E">#REF!</definedName>
    <definedName name="P63L" localSheetId="2">#REF!</definedName>
    <definedName name="P63L">#REF!</definedName>
    <definedName name="P63M" localSheetId="2">#REF!</definedName>
    <definedName name="P63M">#REF!</definedName>
    <definedName name="P64E" localSheetId="2">#REF!</definedName>
    <definedName name="P64E">#REF!</definedName>
    <definedName name="P64L" localSheetId="2">#REF!</definedName>
    <definedName name="P64L">#REF!</definedName>
    <definedName name="P64M" localSheetId="2">#REF!</definedName>
    <definedName name="P64M">#REF!</definedName>
    <definedName name="P65E" localSheetId="2">#REF!</definedName>
    <definedName name="P65E">#REF!</definedName>
    <definedName name="P65L" localSheetId="2">#REF!</definedName>
    <definedName name="P65L">#REF!</definedName>
    <definedName name="P65M" localSheetId="2">#REF!</definedName>
    <definedName name="P65M">#REF!</definedName>
    <definedName name="P66E" localSheetId="2">#REF!</definedName>
    <definedName name="P66E">#REF!</definedName>
    <definedName name="P66L" localSheetId="2">#REF!</definedName>
    <definedName name="P66L">#REF!</definedName>
    <definedName name="P66M" localSheetId="2">#REF!</definedName>
    <definedName name="P66M">#REF!</definedName>
    <definedName name="P67E" localSheetId="2">#REF!</definedName>
    <definedName name="P67E">#REF!</definedName>
    <definedName name="P67L" localSheetId="2">#REF!</definedName>
    <definedName name="P67L">#REF!</definedName>
    <definedName name="P67M" localSheetId="2">#REF!</definedName>
    <definedName name="P67M">#REF!</definedName>
    <definedName name="P68E" localSheetId="2">#REF!</definedName>
    <definedName name="P68E">#REF!</definedName>
    <definedName name="P68L" localSheetId="2">#REF!</definedName>
    <definedName name="P68L">#REF!</definedName>
    <definedName name="P68M" localSheetId="2">#REF!</definedName>
    <definedName name="P68M">#REF!</definedName>
    <definedName name="P69E" localSheetId="2">#REF!</definedName>
    <definedName name="P69E">#REF!</definedName>
    <definedName name="P69L" localSheetId="2">#REF!</definedName>
    <definedName name="P69L">#REF!</definedName>
    <definedName name="P69M" localSheetId="2">#REF!</definedName>
    <definedName name="P69M">#REF!</definedName>
    <definedName name="P6E" localSheetId="2">#REF!</definedName>
    <definedName name="P6E">#REF!</definedName>
    <definedName name="P6L" localSheetId="2">#REF!</definedName>
    <definedName name="P6L">#REF!</definedName>
    <definedName name="P6M" localSheetId="2">#REF!</definedName>
    <definedName name="P6M">#REF!</definedName>
    <definedName name="P70E" localSheetId="2">#REF!</definedName>
    <definedName name="P70E">#REF!</definedName>
    <definedName name="P70L" localSheetId="2">#REF!</definedName>
    <definedName name="P70L">#REF!</definedName>
    <definedName name="P70M" localSheetId="2">#REF!</definedName>
    <definedName name="P70M">#REF!</definedName>
    <definedName name="P71E" localSheetId="2">#REF!</definedName>
    <definedName name="P71E">#REF!</definedName>
    <definedName name="P71L" localSheetId="2">#REF!</definedName>
    <definedName name="P71L">#REF!</definedName>
    <definedName name="P71M" localSheetId="2">#REF!</definedName>
    <definedName name="P71M">#REF!</definedName>
    <definedName name="P72E" localSheetId="2">#REF!</definedName>
    <definedName name="P72E">#REF!</definedName>
    <definedName name="P72L" localSheetId="2">#REF!</definedName>
    <definedName name="P72L">#REF!</definedName>
    <definedName name="P72M" localSheetId="2">#REF!</definedName>
    <definedName name="P72M">#REF!</definedName>
    <definedName name="P73E" localSheetId="2">#REF!</definedName>
    <definedName name="P73E">#REF!</definedName>
    <definedName name="P73L" localSheetId="2">#REF!</definedName>
    <definedName name="P73L">#REF!</definedName>
    <definedName name="P73M" localSheetId="2">#REF!</definedName>
    <definedName name="P73M">#REF!</definedName>
    <definedName name="P74E" localSheetId="2">#REF!</definedName>
    <definedName name="P74E">#REF!</definedName>
    <definedName name="P74L" localSheetId="2">#REF!</definedName>
    <definedName name="P74L">#REF!</definedName>
    <definedName name="P74M" localSheetId="2">#REF!</definedName>
    <definedName name="P74M">#REF!</definedName>
    <definedName name="P75E" localSheetId="2">#REF!</definedName>
    <definedName name="P75E">#REF!</definedName>
    <definedName name="P75L" localSheetId="2">#REF!</definedName>
    <definedName name="P75L">#REF!</definedName>
    <definedName name="P75M" localSheetId="2">#REF!</definedName>
    <definedName name="P75M">#REF!</definedName>
    <definedName name="P76E" localSheetId="2">#REF!</definedName>
    <definedName name="P76E">#REF!</definedName>
    <definedName name="P76L" localSheetId="2">#REF!</definedName>
    <definedName name="P76L">#REF!</definedName>
    <definedName name="P76M" localSheetId="2">#REF!</definedName>
    <definedName name="P76M">#REF!</definedName>
    <definedName name="P77E" localSheetId="2">#REF!</definedName>
    <definedName name="P77E">#REF!</definedName>
    <definedName name="P77L" localSheetId="2">#REF!</definedName>
    <definedName name="P77L">#REF!</definedName>
    <definedName name="P77M" localSheetId="2">#REF!</definedName>
    <definedName name="P77M">#REF!</definedName>
    <definedName name="P78E" localSheetId="2">#REF!</definedName>
    <definedName name="P78E">#REF!</definedName>
    <definedName name="P78L" localSheetId="2">#REF!</definedName>
    <definedName name="P78L">#REF!</definedName>
    <definedName name="P78M" localSheetId="2">#REF!</definedName>
    <definedName name="P78M">#REF!</definedName>
    <definedName name="P79E" localSheetId="2">#REF!</definedName>
    <definedName name="P79E">#REF!</definedName>
    <definedName name="P79L" localSheetId="2">#REF!</definedName>
    <definedName name="P79L">#REF!</definedName>
    <definedName name="P79M" localSheetId="2">#REF!</definedName>
    <definedName name="P79M">#REF!</definedName>
    <definedName name="P7E" localSheetId="2">#REF!</definedName>
    <definedName name="P7E">#REF!</definedName>
    <definedName name="P7L" localSheetId="2">#REF!</definedName>
    <definedName name="P7L">#REF!</definedName>
    <definedName name="P7M" localSheetId="2">#REF!</definedName>
    <definedName name="P7M">#REF!</definedName>
    <definedName name="P80E" localSheetId="2">#REF!</definedName>
    <definedName name="P80E">#REF!</definedName>
    <definedName name="P80L" localSheetId="2">#REF!</definedName>
    <definedName name="P80L">#REF!</definedName>
    <definedName name="P80M" localSheetId="2">#REF!</definedName>
    <definedName name="P80M">#REF!</definedName>
    <definedName name="P81E" localSheetId="2">#REF!</definedName>
    <definedName name="P81E">#REF!</definedName>
    <definedName name="P81L" localSheetId="2">#REF!</definedName>
    <definedName name="P81L">#REF!</definedName>
    <definedName name="P81M" localSheetId="2">#REF!</definedName>
    <definedName name="P81M">#REF!</definedName>
    <definedName name="P82E" localSheetId="2">#REF!</definedName>
    <definedName name="P82E">#REF!</definedName>
    <definedName name="P82L" localSheetId="2">#REF!</definedName>
    <definedName name="P82L">#REF!</definedName>
    <definedName name="P82M" localSheetId="2">#REF!</definedName>
    <definedName name="P82M">#REF!</definedName>
    <definedName name="P83E" localSheetId="2">#REF!</definedName>
    <definedName name="P83E">#REF!</definedName>
    <definedName name="P83L" localSheetId="2">#REF!</definedName>
    <definedName name="P83L">#REF!</definedName>
    <definedName name="P83M" localSheetId="2">#REF!</definedName>
    <definedName name="P83M">#REF!</definedName>
    <definedName name="P84E" localSheetId="2">#REF!</definedName>
    <definedName name="P84E">#REF!</definedName>
    <definedName name="P84L" localSheetId="2">#REF!</definedName>
    <definedName name="P84L">#REF!</definedName>
    <definedName name="P84M" localSheetId="2">#REF!</definedName>
    <definedName name="P84M">#REF!</definedName>
    <definedName name="P85E" localSheetId="2">#REF!</definedName>
    <definedName name="P85E">#REF!</definedName>
    <definedName name="P85L" localSheetId="2">#REF!</definedName>
    <definedName name="P85L">#REF!</definedName>
    <definedName name="P85M" localSheetId="2">#REF!</definedName>
    <definedName name="P85M">#REF!</definedName>
    <definedName name="P86E" localSheetId="2">#REF!</definedName>
    <definedName name="P86E">#REF!</definedName>
    <definedName name="P86L" localSheetId="2">#REF!</definedName>
    <definedName name="P86L">#REF!</definedName>
    <definedName name="P86M" localSheetId="2">#REF!</definedName>
    <definedName name="P86M">#REF!</definedName>
    <definedName name="P87E" localSheetId="2">#REF!</definedName>
    <definedName name="P87E">#REF!</definedName>
    <definedName name="P87L" localSheetId="2">#REF!</definedName>
    <definedName name="P87L">#REF!</definedName>
    <definedName name="P87M" localSheetId="2">#REF!</definedName>
    <definedName name="P87M">#REF!</definedName>
    <definedName name="P88E" localSheetId="2">#REF!</definedName>
    <definedName name="P88E">#REF!</definedName>
    <definedName name="P88L" localSheetId="2">#REF!</definedName>
    <definedName name="P88L">#REF!</definedName>
    <definedName name="P88M" localSheetId="2">#REF!</definedName>
    <definedName name="P88M">#REF!</definedName>
    <definedName name="P89E" localSheetId="2">#REF!</definedName>
    <definedName name="P89E">#REF!</definedName>
    <definedName name="P89L" localSheetId="2">#REF!</definedName>
    <definedName name="P89L">#REF!</definedName>
    <definedName name="P89M" localSheetId="2">#REF!</definedName>
    <definedName name="P89M">#REF!</definedName>
    <definedName name="P8E" localSheetId="2">#REF!</definedName>
    <definedName name="P8E">#REF!</definedName>
    <definedName name="P8L" localSheetId="2">#REF!</definedName>
    <definedName name="P8L">#REF!</definedName>
    <definedName name="P8M" localSheetId="2">#REF!</definedName>
    <definedName name="P8M">#REF!</definedName>
    <definedName name="P90E" localSheetId="2">#REF!</definedName>
    <definedName name="P90E">#REF!</definedName>
    <definedName name="P90L" localSheetId="2">#REF!</definedName>
    <definedName name="P90L">#REF!</definedName>
    <definedName name="P90M" localSheetId="2">#REF!</definedName>
    <definedName name="P90M">#REF!</definedName>
    <definedName name="P91E" localSheetId="2">#REF!</definedName>
    <definedName name="P91E">#REF!</definedName>
    <definedName name="P91L" localSheetId="2">#REF!</definedName>
    <definedName name="P91L">#REF!</definedName>
    <definedName name="P91M" localSheetId="2">#REF!</definedName>
    <definedName name="P91M">#REF!</definedName>
    <definedName name="P92E" localSheetId="2">#REF!</definedName>
    <definedName name="P92E">#REF!</definedName>
    <definedName name="P92L" localSheetId="2">#REF!</definedName>
    <definedName name="P92L">#REF!</definedName>
    <definedName name="P92M" localSheetId="2">#REF!</definedName>
    <definedName name="P92M">#REF!</definedName>
    <definedName name="P93E" localSheetId="2">#REF!</definedName>
    <definedName name="P93E">#REF!</definedName>
    <definedName name="P93L" localSheetId="2">#REF!</definedName>
    <definedName name="P93L">#REF!</definedName>
    <definedName name="P93M" localSheetId="2">#REF!</definedName>
    <definedName name="P93M">#REF!</definedName>
    <definedName name="P94E" localSheetId="2">#REF!</definedName>
    <definedName name="P94E">#REF!</definedName>
    <definedName name="P94L" localSheetId="2">#REF!</definedName>
    <definedName name="P94L">#REF!</definedName>
    <definedName name="P94M" localSheetId="2">#REF!</definedName>
    <definedName name="P94M">#REF!</definedName>
    <definedName name="P95E" localSheetId="2">#REF!</definedName>
    <definedName name="P95E">#REF!</definedName>
    <definedName name="P95L" localSheetId="2">#REF!</definedName>
    <definedName name="P95L">#REF!</definedName>
    <definedName name="P95M" localSheetId="2">#REF!</definedName>
    <definedName name="P95M">#REF!</definedName>
    <definedName name="P96E" localSheetId="2">#REF!</definedName>
    <definedName name="P96E">#REF!</definedName>
    <definedName name="P96L" localSheetId="2">#REF!</definedName>
    <definedName name="P96L">#REF!</definedName>
    <definedName name="P96M" localSheetId="2">#REF!</definedName>
    <definedName name="P96M">#REF!</definedName>
    <definedName name="P97E" localSheetId="2">#REF!</definedName>
    <definedName name="P97E">#REF!</definedName>
    <definedName name="P97L" localSheetId="2">#REF!</definedName>
    <definedName name="P97L">#REF!</definedName>
    <definedName name="P97M" localSheetId="2">#REF!</definedName>
    <definedName name="P97M">#REF!</definedName>
    <definedName name="P98E" localSheetId="2">#REF!</definedName>
    <definedName name="P98E">#REF!</definedName>
    <definedName name="P98L" localSheetId="2">#REF!</definedName>
    <definedName name="P98L">#REF!</definedName>
    <definedName name="P98M" localSheetId="2">#REF!</definedName>
    <definedName name="P98M">#REF!</definedName>
    <definedName name="P99E" localSheetId="2">#REF!</definedName>
    <definedName name="P99E">#REF!</definedName>
    <definedName name="P99L" localSheetId="2">#REF!</definedName>
    <definedName name="P99L">#REF!</definedName>
    <definedName name="P99M" localSheetId="2">#REF!</definedName>
    <definedName name="P99M">#REF!</definedName>
    <definedName name="P9E" localSheetId="2">#REF!</definedName>
    <definedName name="P9E">#REF!</definedName>
    <definedName name="P9L" localSheetId="2">#REF!</definedName>
    <definedName name="P9L">#REF!</definedName>
    <definedName name="P9M" localSheetId="2">#REF!</definedName>
    <definedName name="P9M">#REF!</definedName>
    <definedName name="PADIYATHALAWA" localSheetId="2">#REF!</definedName>
    <definedName name="PADIYATHALAWA">#REF!</definedName>
    <definedName name="part5" localSheetId="2">#REF!</definedName>
    <definedName name="part5">#REF!</definedName>
    <definedName name="Phone" localSheetId="2">#REF!</definedName>
    <definedName name="Phone">#REF!</definedName>
    <definedName name="Pier" localSheetId="2">#REF!</definedName>
    <definedName name="Pier">#REF!</definedName>
    <definedName name="PIM" localSheetId="2">#REF!</definedName>
    <definedName name="PIM">#REF!</definedName>
    <definedName name="PIS" localSheetId="2">#REF!</definedName>
    <definedName name="PIS">#REF!</definedName>
    <definedName name="PJT">#N/A</definedName>
    <definedName name="PLP" localSheetId="2">#REF!</definedName>
    <definedName name="PLP">#REF!</definedName>
    <definedName name="PR" localSheetId="2">#REF!</definedName>
    <definedName name="PR">#REF!</definedName>
    <definedName name="pre" localSheetId="2">[1]BOQ!#REF!</definedName>
    <definedName name="pre">[1]BOQ!#REF!</definedName>
    <definedName name="_xlnm.Print_Area" localSheetId="0">Application!$A$1:$H$62</definedName>
    <definedName name="_xlnm.Print_Area" localSheetId="3">'Bill 1'!$A$1:$G$43</definedName>
    <definedName name="_xlnm.Print_Area" localSheetId="4">'Bill 2'!$A$1:$G$33</definedName>
    <definedName name="_xlnm.Print_Area" localSheetId="5">'Bill 3'!$A$1:$G$46</definedName>
    <definedName name="_xlnm.Print_Area" localSheetId="6">'Bill 4'!$A$1:$G$32</definedName>
    <definedName name="_xlnm.Print_Area" localSheetId="7">'Bill 5'!$A$1:$G$31</definedName>
    <definedName name="_xlnm.Print_Area" localSheetId="8">'Bill 6'!$A$1:$G$411</definedName>
    <definedName name="_xlnm.Print_Area" localSheetId="15">'Bill 6 (2)'!$A$1:$G$411</definedName>
    <definedName name="_xlnm.Print_Area" localSheetId="9">'Bill 7'!$A$1:$G$140</definedName>
    <definedName name="_xlnm.Print_Area" localSheetId="10">'Bill 8.1'!$A$1:$G$44</definedName>
    <definedName name="_xlnm.Print_Area" localSheetId="11">'Bill 8.2'!$A$1:$G$113</definedName>
    <definedName name="_xlnm.Print_Area" localSheetId="12">'Bill 8.3'!$A$1:$G$114</definedName>
    <definedName name="_xlnm.Print_Area" localSheetId="13">'Bill 9'!$A$1:$G$58</definedName>
    <definedName name="_xlnm.Print_Area" localSheetId="1">GS!$A$1:$E$31</definedName>
    <definedName name="_xlnm.Print_Area" localSheetId="2">'Mat @ Site (2)'!$A$1:$V$51</definedName>
    <definedName name="_xlnm.Print_Area" localSheetId="14">PF!$B$1:$J$108</definedName>
    <definedName name="_xlnm.Print_Area">#REF!</definedName>
    <definedName name="Print_Area\C" localSheetId="2">#REF!</definedName>
    <definedName name="Print_Area\C">#REF!</definedName>
    <definedName name="PRINT_AREA_MI" localSheetId="2">#REF!</definedName>
    <definedName name="PRINT_AREA_MI">#REF!</definedName>
    <definedName name="Print_area3" localSheetId="2">#REF!</definedName>
    <definedName name="Print_area3">#REF!</definedName>
    <definedName name="_xlnm.Print_Titles" localSheetId="3">'Bill 1'!$10:$12</definedName>
    <definedName name="_xlnm.Print_Titles" localSheetId="8">'Bill 6'!$1:$12</definedName>
    <definedName name="_xlnm.Print_Titles" localSheetId="15">'Bill 6 (2)'!$1:$12</definedName>
    <definedName name="_xlnm.Print_Titles" localSheetId="9">'Bill 7'!$1:$12</definedName>
    <definedName name="_xlnm.Print_Titles" localSheetId="10">'Bill 8.1'!$1:$12</definedName>
    <definedName name="_xlnm.Print_Titles" localSheetId="11">'Bill 8.2'!$1:$12</definedName>
    <definedName name="_xlnm.Print_Titles" localSheetId="12">'Bill 8.3'!$1:$12</definedName>
    <definedName name="_xlnm.Print_Titles" localSheetId="13">'Bill 9'!$1:$12</definedName>
    <definedName name="_xlnm.Print_Titles" localSheetId="2">#REF!</definedName>
    <definedName name="_xlnm.Print_Titles" localSheetId="14">PF!$1:$9</definedName>
    <definedName name="_xlnm.Print_Titles">#REF!</definedName>
    <definedName name="PRINT_TITLES_MI" localSheetId="2">#REF!</definedName>
    <definedName name="PRINT_TITLES_MI">#REF!</definedName>
    <definedName name="pro_date">'[4]BOQ Summary'!$N$1:$EM$1</definedName>
    <definedName name="ProdForm" localSheetId="2" hidden="1">#REF!</definedName>
    <definedName name="ProdForm" hidden="1">#REF!</definedName>
    <definedName name="Product" localSheetId="2" hidden="1">#REF!</definedName>
    <definedName name="Product" hidden="1">#REF!</definedName>
    <definedName name="PUMP" localSheetId="2">#REF!</definedName>
    <definedName name="PUMP">#REF!</definedName>
    <definedName name="Q" localSheetId="2">#REF!</definedName>
    <definedName name="Q">#REF!</definedName>
    <definedName name="qee" localSheetId="2">#REF!</definedName>
    <definedName name="qee">#REF!</definedName>
    <definedName name="qq" localSheetId="2" hidden="1">{#N/A,#N/A,FALSE,"단가표지"}</definedName>
    <definedName name="qq" hidden="1">{#N/A,#N/A,FALSE,"단가표지"}</definedName>
    <definedName name="qqq" localSheetId="2" hidden="1">#REF!</definedName>
    <definedName name="qqq" hidden="1">#REF!</definedName>
    <definedName name="qqqq" localSheetId="2">#REF!</definedName>
    <definedName name="qqqq">#REF!</definedName>
    <definedName name="QTY">#N/A</definedName>
    <definedName name="qw" localSheetId="2" hidden="1">{#N/A,#N/A,FALSE,"단가표지"}</definedName>
    <definedName name="qw" hidden="1">{#N/A,#N/A,FALSE,"단가표지"}</definedName>
    <definedName name="RA" localSheetId="2">#REF!</definedName>
    <definedName name="RA">#REF!</definedName>
    <definedName name="RAD" localSheetId="2">#REF!</definedName>
    <definedName name="RAD">#REF!</definedName>
    <definedName name="RB7.4" localSheetId="2" hidden="1">#REF!</definedName>
    <definedName name="RB7.4" hidden="1">#REF!</definedName>
    <definedName name="RCArea" localSheetId="2" hidden="1">#REF!</definedName>
    <definedName name="RCArea" hidden="1">#REF!</definedName>
    <definedName name="RCC" localSheetId="2">#REF!</definedName>
    <definedName name="RCC">#REF!</definedName>
    <definedName name="RE" localSheetId="2">#REF!</definedName>
    <definedName name="RE">#REF!</definedName>
    <definedName name="_xlnm.Recorder" localSheetId="2">#REF!</definedName>
    <definedName name="_xlnm.Recorder">#REF!</definedName>
    <definedName name="REM">#N/A</definedName>
    <definedName name="REMO" localSheetId="2">#REF!</definedName>
    <definedName name="REMO">#REF!</definedName>
    <definedName name="REMO1">[5]BOQ2!$G$573</definedName>
    <definedName name="REMREPL" localSheetId="2">#REF!</definedName>
    <definedName name="REMREPL">#REF!</definedName>
    <definedName name="roun">[8]Rates!$K$4:$M$7</definedName>
    <definedName name="rrg" localSheetId="2">#REF!</definedName>
    <definedName name="rrg">#REF!</definedName>
    <definedName name="ruswjrsodur" localSheetId="2">#REF!</definedName>
    <definedName name="ruswjrsodur">#REF!</definedName>
    <definedName name="s" localSheetId="2">#REF!</definedName>
    <definedName name="s">#REF!</definedName>
    <definedName name="S2L" localSheetId="2">#REF!</definedName>
    <definedName name="S2L">#REF!</definedName>
    <definedName name="Sa" localSheetId="2">#REF!</definedName>
    <definedName name="Sa">#REF!</definedName>
    <definedName name="Sare" localSheetId="2">#REF!</definedName>
    <definedName name="Sare">#REF!</definedName>
    <definedName name="Sca" localSheetId="2">#REF!</definedName>
    <definedName name="Sca">#REF!</definedName>
    <definedName name="Sck" localSheetId="2">#REF!</definedName>
    <definedName name="Sck">#REF!</definedName>
    <definedName name="SCO다" localSheetId="2">#REF!</definedName>
    <definedName name="SCO다">#REF!</definedName>
    <definedName name="sddd" localSheetId="2">#REF!</definedName>
    <definedName name="sddd">#REF!</definedName>
    <definedName name="SDF" localSheetId="2" hidden="1">{#N/A,#N/A,FALSE,"전력간선"}</definedName>
    <definedName name="SDF" hidden="1">{#N/A,#N/A,FALSE,"전력간선"}</definedName>
    <definedName name="sdfadsfa" localSheetId="2">#REF!</definedName>
    <definedName name="sdfadsfa">#REF!</definedName>
    <definedName name="SELECT">#N/A</definedName>
    <definedName name="sfbjdf" localSheetId="2" hidden="1">#REF!</definedName>
    <definedName name="sfbjdf" hidden="1">#REF!</definedName>
    <definedName name="Sheet" localSheetId="2" hidden="1">#REF!</definedName>
    <definedName name="Sheet" hidden="1">#REF!</definedName>
    <definedName name="SHT" localSheetId="2">#REF!</definedName>
    <definedName name="SHT">#REF!</definedName>
    <definedName name="SK" localSheetId="2">#REF!</definedName>
    <definedName name="SK">#REF!</definedName>
    <definedName name="SKE" localSheetId="2">#REF!</definedName>
    <definedName name="SKE">#REF!</definedName>
    <definedName name="SL" localSheetId="2">#REF!</definedName>
    <definedName name="SL">#REF!</definedName>
    <definedName name="slab" localSheetId="2">#REF!</definedName>
    <definedName name="slab">#REF!</definedName>
    <definedName name="SORTCODE">#N/A</definedName>
    <definedName name="SpecialPrice" localSheetId="2" hidden="1">#REF!</definedName>
    <definedName name="SpecialPrice" hidden="1">#REF!</definedName>
    <definedName name="SS" localSheetId="2">#REF!</definedName>
    <definedName name="SS">#REF!</definedName>
    <definedName name="ssss" localSheetId="2" hidden="1">{#N/A,#N/A,FALSE,"운반시간"}</definedName>
    <definedName name="ssss" hidden="1">{#N/A,#N/A,FALSE,"운반시간"}</definedName>
    <definedName name="ST" localSheetId="2">#REF!</definedName>
    <definedName name="ST">#REF!</definedName>
    <definedName name="START" localSheetId="2">#REF!</definedName>
    <definedName name="START">#REF!</definedName>
    <definedName name="start_2" localSheetId="2">#REF!</definedName>
    <definedName name="start_2">#REF!</definedName>
    <definedName name="start_3" localSheetId="2">#REF!</definedName>
    <definedName name="start_3">#REF!</definedName>
    <definedName name="State" localSheetId="2">#REF!</definedName>
    <definedName name="State">#REF!</definedName>
    <definedName name="Substructure" localSheetId="2">#REF!</definedName>
    <definedName name="Substructure">#REF!</definedName>
    <definedName name="SUPE" localSheetId="2">#REF!</definedName>
    <definedName name="SUPE">#REF!</definedName>
    <definedName name="SUPE1">[5]BOQ2!$G$577</definedName>
    <definedName name="SUYO">#N/A</definedName>
    <definedName name="SV" localSheetId="2">#REF!</definedName>
    <definedName name="SV">#REF!</definedName>
    <definedName name="SWL" localSheetId="2">#REF!</definedName>
    <definedName name="SWL">#REF!</definedName>
    <definedName name="SWR" localSheetId="2">#REF!</definedName>
    <definedName name="SWR">#REF!</definedName>
    <definedName name="Sy" localSheetId="2">#REF!</definedName>
    <definedName name="Sy">#REF!</definedName>
    <definedName name="T" localSheetId="2">#REF!</definedName>
    <definedName name="T">#REF!</definedName>
    <definedName name="T_AMOUNT">#N/A</definedName>
    <definedName name="T_UPRICE">#N/A</definedName>
    <definedName name="T10M" localSheetId="2">#REF!</definedName>
    <definedName name="T10M">#REF!</definedName>
    <definedName name="T10P" localSheetId="2">#REF!</definedName>
    <definedName name="T10P">#REF!</definedName>
    <definedName name="T11M" localSheetId="2">#REF!</definedName>
    <definedName name="T11M">#REF!</definedName>
    <definedName name="T11P" localSheetId="2">#REF!</definedName>
    <definedName name="T11P">#REF!</definedName>
    <definedName name="T12M" localSheetId="2">#REF!</definedName>
    <definedName name="T12M">#REF!</definedName>
    <definedName name="T12P" localSheetId="2">#REF!</definedName>
    <definedName name="T12P">#REF!</definedName>
    <definedName name="T13M" localSheetId="2">#REF!</definedName>
    <definedName name="T13M">#REF!</definedName>
    <definedName name="T13P" localSheetId="2">#REF!</definedName>
    <definedName name="T13P">#REF!</definedName>
    <definedName name="T14M" localSheetId="2">#REF!</definedName>
    <definedName name="T14M">#REF!</definedName>
    <definedName name="T14P" localSheetId="2">#REF!</definedName>
    <definedName name="T14P">#REF!</definedName>
    <definedName name="T15M" localSheetId="2">#REF!</definedName>
    <definedName name="T15M">#REF!</definedName>
    <definedName name="T15P" localSheetId="2">#REF!</definedName>
    <definedName name="T15P">#REF!</definedName>
    <definedName name="T16M" localSheetId="2">#REF!</definedName>
    <definedName name="T16M">#REF!</definedName>
    <definedName name="T16P" localSheetId="2">#REF!</definedName>
    <definedName name="T16P">#REF!</definedName>
    <definedName name="T17M" localSheetId="2">#REF!</definedName>
    <definedName name="T17M">#REF!</definedName>
    <definedName name="T17P" localSheetId="2">#REF!</definedName>
    <definedName name="T17P">#REF!</definedName>
    <definedName name="T18M" localSheetId="2">#REF!</definedName>
    <definedName name="T18M">#REF!</definedName>
    <definedName name="T18P" localSheetId="2">#REF!</definedName>
    <definedName name="T18P">#REF!</definedName>
    <definedName name="T19M" localSheetId="2">#REF!</definedName>
    <definedName name="T19M">#REF!</definedName>
    <definedName name="T19P" localSheetId="2">#REF!</definedName>
    <definedName name="T19P">#REF!</definedName>
    <definedName name="T1E" localSheetId="2">#REF!</definedName>
    <definedName name="T1E">#REF!</definedName>
    <definedName name="T1M" localSheetId="2">#REF!</definedName>
    <definedName name="T1M">#REF!</definedName>
    <definedName name="T1P" localSheetId="2">#REF!</definedName>
    <definedName name="T1P">#REF!</definedName>
    <definedName name="T1S" localSheetId="2">#REF!</definedName>
    <definedName name="T1S">#REF!</definedName>
    <definedName name="T20M" localSheetId="2">#REF!</definedName>
    <definedName name="T20M">#REF!</definedName>
    <definedName name="T20P" localSheetId="2">#REF!</definedName>
    <definedName name="T20P">#REF!</definedName>
    <definedName name="T21M" localSheetId="2">#REF!</definedName>
    <definedName name="T21M">#REF!</definedName>
    <definedName name="T21P" localSheetId="2">#REF!</definedName>
    <definedName name="T21P">#REF!</definedName>
    <definedName name="T22E" localSheetId="2">#REF!</definedName>
    <definedName name="T22E">#REF!</definedName>
    <definedName name="T23M" localSheetId="2">#REF!</definedName>
    <definedName name="T23M">#REF!</definedName>
    <definedName name="T23P" localSheetId="2">#REF!</definedName>
    <definedName name="T23P">#REF!</definedName>
    <definedName name="T24M" localSheetId="2">#REF!</definedName>
    <definedName name="T24M">#REF!</definedName>
    <definedName name="T24P" localSheetId="2">#REF!</definedName>
    <definedName name="T24P">#REF!</definedName>
    <definedName name="T2E" localSheetId="2">#REF!</definedName>
    <definedName name="T2E">#REF!</definedName>
    <definedName name="T2M" localSheetId="2">#REF!</definedName>
    <definedName name="T2M">#REF!</definedName>
    <definedName name="T2P" localSheetId="2">#REF!</definedName>
    <definedName name="T2P">#REF!</definedName>
    <definedName name="T2S" localSheetId="2">#REF!</definedName>
    <definedName name="T2S">#REF!</definedName>
    <definedName name="T3P" localSheetId="2">#REF!</definedName>
    <definedName name="T3P">#REF!</definedName>
    <definedName name="T3S" localSheetId="2">#REF!</definedName>
    <definedName name="T3S">#REF!</definedName>
    <definedName name="T4M" localSheetId="2">#REF!</definedName>
    <definedName name="T4M">#REF!</definedName>
    <definedName name="T4P" localSheetId="2">#REF!</definedName>
    <definedName name="T4P">#REF!</definedName>
    <definedName name="T5M" localSheetId="2">#REF!</definedName>
    <definedName name="T5M">#REF!</definedName>
    <definedName name="T5P" localSheetId="2">#REF!</definedName>
    <definedName name="T5P">#REF!</definedName>
    <definedName name="T6M" localSheetId="2">#REF!</definedName>
    <definedName name="T6M">#REF!</definedName>
    <definedName name="T6P" localSheetId="2">#REF!</definedName>
    <definedName name="T6P">#REF!</definedName>
    <definedName name="T7M" localSheetId="2">#REF!</definedName>
    <definedName name="T7M">#REF!</definedName>
    <definedName name="T7P" localSheetId="2">#REF!</definedName>
    <definedName name="T7P">#REF!</definedName>
    <definedName name="T8M" localSheetId="2">#REF!</definedName>
    <definedName name="T8M">#REF!</definedName>
    <definedName name="T8P" localSheetId="2">#REF!</definedName>
    <definedName name="T8P">#REF!</definedName>
    <definedName name="T9M" localSheetId="2">#REF!</definedName>
    <definedName name="T9M">#REF!</definedName>
    <definedName name="T9P" localSheetId="2">#REF!</definedName>
    <definedName name="T9P">#REF!</definedName>
    <definedName name="Ta" localSheetId="2">#REF!</definedName>
    <definedName name="Ta">#REF!</definedName>
    <definedName name="target" localSheetId="2">#REF!</definedName>
    <definedName name="target">#REF!</definedName>
    <definedName name="tbl_ProdInfo" localSheetId="2" hidden="1">#REF!</definedName>
    <definedName name="tbl_ProdInfo" hidden="1">#REF!</definedName>
    <definedName name="tfgf" localSheetId="2" hidden="1">#REF!</definedName>
    <definedName name="tfgf" hidden="1">#REF!</definedName>
    <definedName name="TFGO" localSheetId="2">#REF!</definedName>
    <definedName name="TFGO">#REF!</definedName>
    <definedName name="tlf" localSheetId="2">#REF!</definedName>
    <definedName name="tlf">#REF!</definedName>
    <definedName name="TMO" localSheetId="2">#REF!</definedName>
    <definedName name="TMO">#REF!</definedName>
    <definedName name="TOO">#N/A</definedName>
    <definedName name="TOTAL" localSheetId="2">#REF!</definedName>
    <definedName name="TOTAL">#REF!</definedName>
    <definedName name="TW" localSheetId="2">#REF!</definedName>
    <definedName name="TW">#REF!</definedName>
    <definedName name="TWL" localSheetId="2">#REF!</definedName>
    <definedName name="TWL">#REF!</definedName>
    <definedName name="TWR" localSheetId="2">#REF!</definedName>
    <definedName name="TWR">#REF!</definedName>
    <definedName name="TYPHOON" localSheetId="2">#REF!</definedName>
    <definedName name="TYPHOON">#REF!</definedName>
    <definedName name="U" localSheetId="2">#REF!</definedName>
    <definedName name="U">#REF!</definedName>
    <definedName name="UL" localSheetId="2">#REF!</definedName>
    <definedName name="UL">#REF!</definedName>
    <definedName name="ulsan" localSheetId="2">#REF!</definedName>
    <definedName name="ulsan">#REF!</definedName>
    <definedName name="UOU" localSheetId="2">#REF!</definedName>
    <definedName name="UOU">#REF!</definedName>
    <definedName name="UT" localSheetId="2">#REF!</definedName>
    <definedName name="UT">#REF!</definedName>
    <definedName name="UTU" localSheetId="2">#REF!</definedName>
    <definedName name="UTU">#REF!</definedName>
    <definedName name="v" localSheetId="2">#REF!</definedName>
    <definedName name="v">#REF!</definedName>
    <definedName name="VAFP" localSheetId="2">#REF!</definedName>
    <definedName name="VAFP">#REF!</definedName>
    <definedName name="Value1">[6]wording!$D$10:$E$20</definedName>
    <definedName name="Value2">[6]wording!$G$10:$H$20</definedName>
    <definedName name="Value3">[6]wording!$J$10:$K$18</definedName>
    <definedName name="variationnonadjust" localSheetId="2">#REF!</definedName>
    <definedName name="variationnonadjust">#REF!</definedName>
    <definedName name="VBV" localSheetId="2">#REF!</definedName>
    <definedName name="VBV">#REF!</definedName>
    <definedName name="VCR" localSheetId="2">#REF!</definedName>
    <definedName name="VCR">#REF!</definedName>
    <definedName name="VDSVP" localSheetId="2">#REF!</definedName>
    <definedName name="VDSVP">#REF!</definedName>
    <definedName name="VHAF" localSheetId="2">#REF!</definedName>
    <definedName name="VHAF">#REF!</definedName>
    <definedName name="VHMF" localSheetId="2">#REF!</definedName>
    <definedName name="VHMF">#REF!</definedName>
    <definedName name="VMF" localSheetId="2">#REF!</definedName>
    <definedName name="VMF">#REF!</definedName>
    <definedName name="VMOTOR" localSheetId="2">#REF!</definedName>
    <definedName name="VMOTOR">#REF!</definedName>
    <definedName name="VPUMP" localSheetId="2">#REF!</definedName>
    <definedName name="VPUMP">#REF!</definedName>
    <definedName name="VSV" localSheetId="2">#REF!</definedName>
    <definedName name="VSV">#REF!</definedName>
    <definedName name="VVAFP" localSheetId="2">#REF!</definedName>
    <definedName name="VVAFP">#REF!</definedName>
    <definedName name="VVMF" localSheetId="2">#REF!</definedName>
    <definedName name="VVMF">#REF!</definedName>
    <definedName name="vvv" localSheetId="2">#REF!</definedName>
    <definedName name="vvv">#REF!</definedName>
    <definedName name="VWEI" localSheetId="2">#REF!</definedName>
    <definedName name="VWEI">#REF!</definedName>
    <definedName name="W" localSheetId="2">#REF!</definedName>
    <definedName name="W">#REF!</definedName>
    <definedName name="Was" localSheetId="2">#REF!</definedName>
    <definedName name="Was">#REF!</definedName>
    <definedName name="Wdc" localSheetId="2">#REF!</definedName>
    <definedName name="Wdc">#REF!</definedName>
    <definedName name="Wds" localSheetId="2">#REF!</definedName>
    <definedName name="Wds">#REF!</definedName>
    <definedName name="Weather" localSheetId="2">#REF!</definedName>
    <definedName name="Weather">#REF!</definedName>
    <definedName name="WEG" localSheetId="2">#REF!</definedName>
    <definedName name="WEG">#REF!</definedName>
    <definedName name="WEI" localSheetId="2">#REF!</definedName>
    <definedName name="WEI">#REF!</definedName>
    <definedName name="WER">#N/A</definedName>
    <definedName name="WG" localSheetId="2">#REF!</definedName>
    <definedName name="WG">#REF!</definedName>
    <definedName name="WH" localSheetId="2">#REF!</definedName>
    <definedName name="WH">#REF!</definedName>
    <definedName name="WHW" localSheetId="2">#REF!</definedName>
    <definedName name="WHW">#REF!</definedName>
    <definedName name="WIT" localSheetId="2">#REF!</definedName>
    <definedName name="WIT">#REF!</definedName>
    <definedName name="wm.조골재1" localSheetId="2" hidden="1">{#N/A,#N/A,FALSE,"조골재"}</definedName>
    <definedName name="wm.조골재1" hidden="1">{#N/A,#N/A,FALSE,"조골재"}</definedName>
    <definedName name="wp_data">'[4]BOQ Summary'!$M$2:$DM$383</definedName>
    <definedName name="wrn.2번." localSheetId="2" hidden="1">{#N/A,#N/A,FALSE,"2~8번"}</definedName>
    <definedName name="wrn.2번." hidden="1">{#N/A,#N/A,FALSE,"2~8번"}</definedName>
    <definedName name="wrn.97년._.사업계획._.및._.예산지침." localSheetId="2" hidden="1">{#N/A,#N/A,TRUE,"1";#N/A,#N/A,TRUE,"2";#N/A,#N/A,TRUE,"3";#N/A,#N/A,TRUE,"4";#N/A,#N/A,TRUE,"5";#N/A,#N/A,TRUE,"6";#N/A,#N/A,TRUE,"7"}</definedName>
    <definedName name="wrn.97년._.사업계획._.및._.예산지침." hidden="1">{#N/A,#N/A,TRUE,"1";#N/A,#N/A,TRUE,"2";#N/A,#N/A,TRUE,"3";#N/A,#N/A,TRUE,"4";#N/A,#N/A,TRUE,"5";#N/A,#N/A,TRUE,"6";#N/A,#N/A,TRUE,"7"}</definedName>
    <definedName name="wrn.Abut_only." localSheetId="2" hidden="1">{#N/A,#N/A,FALSE,"Abutments ONLY"}</definedName>
    <definedName name="wrn.Abut_only." hidden="1">{#N/A,#N/A,FALSE,"Abutments ONLY"}</definedName>
    <definedName name="wrn.Abut_pier." localSheetId="2" hidden="1">{#N/A,#N/A,FALSE,"Abutments &amp; Pier(s)"}</definedName>
    <definedName name="wrn.Abut_pier." hidden="1">{#N/A,#N/A,FALSE,"Abutments &amp; Pier(s)"}</definedName>
    <definedName name="wrn.Cumulative._.Material._.Cost." localSheetId="2" hidden="1">{#N/A,#N/A,FALSE,"MARCH"}</definedName>
    <definedName name="wrn.Cumulative._.Material._.Cost." hidden="1">{#N/A,#N/A,FALSE,"MARCH"}</definedName>
    <definedName name="wrn.골재소요량." localSheetId="2" hidden="1">{#N/A,#N/A,FALSE,"골재소요량";#N/A,#N/A,FALSE,"골재소요량"}</definedName>
    <definedName name="wrn.골재소요량." hidden="1">{#N/A,#N/A,FALSE,"골재소요량";#N/A,#N/A,FALSE,"골재소요량"}</definedName>
    <definedName name="wrn.교육청." localSheetId="2" hidden="1">{#N/A,#N/A,FALSE,"전력간선"}</definedName>
    <definedName name="wrn.교육청." hidden="1">{#N/A,#N/A,FALSE,"전력간선"}</definedName>
    <definedName name="wrn.구조2." localSheetId="2" hidden="1">{#N/A,#N/A,FALSE,"구조2"}</definedName>
    <definedName name="wrn.구조2." hidden="1">{#N/A,#N/A,FALSE,"구조2"}</definedName>
    <definedName name="wrn.단가표지." localSheetId="2" hidden="1">{#N/A,#N/A,FALSE,"단가표지"}</definedName>
    <definedName name="wrn.단가표지." hidden="1">{#N/A,#N/A,FALSE,"단가표지"}</definedName>
    <definedName name="wrn.배수1." localSheetId="2" hidden="1">{#N/A,#N/A,FALSE,"배수1"}</definedName>
    <definedName name="wrn.배수1." hidden="1">{#N/A,#N/A,FALSE,"배수1"}</definedName>
    <definedName name="wrn.배수2." localSheetId="2" hidden="1">{#N/A,#N/A,FALSE,"배수2"}</definedName>
    <definedName name="wrn.배수2." hidden="1">{#N/A,#N/A,FALSE,"배수2"}</definedName>
    <definedName name="wrn.부대1." localSheetId="2" hidden="1">{#N/A,#N/A,FALSE,"부대1"}</definedName>
    <definedName name="wrn.부대1." hidden="1">{#N/A,#N/A,FALSE,"부대1"}</definedName>
    <definedName name="wrn.부대2." localSheetId="2" hidden="1">{#N/A,#N/A,FALSE,"부대2"}</definedName>
    <definedName name="wrn.부대2." hidden="1">{#N/A,#N/A,FALSE,"부대2"}</definedName>
    <definedName name="wrn.속도." localSheetId="2" hidden="1">{#N/A,#N/A,FALSE,"속도"}</definedName>
    <definedName name="wrn.속도." hidden="1">{#N/A,#N/A,FALSE,"속도"}</definedName>
    <definedName name="wrn.운반시간." localSheetId="2" hidden="1">{#N/A,#N/A,FALSE,"운반시간"}</definedName>
    <definedName name="wrn.운반시간." hidden="1">{#N/A,#N/A,FALSE,"운반시간"}</definedName>
    <definedName name="wrn.이정표." localSheetId="2" hidden="1">{#N/A,#N/A,FALSE,"이정표"}</definedName>
    <definedName name="wrn.이정표." hidden="1">{#N/A,#N/A,FALSE,"이정표"}</definedName>
    <definedName name="wrn.조골재." localSheetId="2" hidden="1">{#N/A,#N/A,FALSE,"조골재"}</definedName>
    <definedName name="wrn.조골재." hidden="1">{#N/A,#N/A,FALSE,"조골재"}</definedName>
    <definedName name="wrn.지수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토공1." localSheetId="2" hidden="1">{#N/A,#N/A,FALSE,"구조1"}</definedName>
    <definedName name="wrn.토공1." hidden="1">{#N/A,#N/A,FALSE,"구조1"}</definedName>
    <definedName name="wrn.토공2." localSheetId="2" hidden="1">{#N/A,#N/A,FALSE,"토공2"}</definedName>
    <definedName name="wrn.토공2." hidden="1">{#N/A,#N/A,FALSE,"토공2"}</definedName>
    <definedName name="wrn.포장1." localSheetId="2" hidden="1">{#N/A,#N/A,FALSE,"포장1";#N/A,#N/A,FALSE,"포장1"}</definedName>
    <definedName name="wrn.포장1." hidden="1">{#N/A,#N/A,FALSE,"포장1";#N/A,#N/A,FALSE,"포장1"}</definedName>
    <definedName name="wrn.포장2." localSheetId="2" hidden="1">{#N/A,#N/A,FALSE,"포장2"}</definedName>
    <definedName name="wrn.포장2." hidden="1">{#N/A,#N/A,FALSE,"포장2"}</definedName>
    <definedName name="wrn.표지." localSheetId="2" hidden="1">{#N/A,#N/A,FALSE,"표지"}</definedName>
    <definedName name="wrn.표지." hidden="1">{#N/A,#N/A,FALSE,"표지"}</definedName>
    <definedName name="wrn.표지목차." localSheetId="2" hidden="1">{#N/A,#N/A,FALSE,"표지목차"}</definedName>
    <definedName name="wrn.표지목차." hidden="1">{#N/A,#N/A,FALSE,"표지목차"}</definedName>
    <definedName name="wrn.혼합골재." localSheetId="2" hidden="1">{#N/A,#N/A,FALSE,"혼합골재"}</definedName>
    <definedName name="wrn.혼합골재." hidden="1">{#N/A,#N/A,FALSE,"혼합골재"}</definedName>
    <definedName name="wsdfsd" localSheetId="2">#REF!</definedName>
    <definedName name="wsdfsd">#REF!</definedName>
    <definedName name="WSO" localSheetId="2">#REF!</definedName>
    <definedName name="WSO">#REF!</definedName>
    <definedName name="WT" localSheetId="2">#REF!</definedName>
    <definedName name="WT">#REF!</definedName>
    <definedName name="WTW" localSheetId="2">#REF!</definedName>
    <definedName name="WTW">#REF!</definedName>
    <definedName name="x" localSheetId="2">#REF!</definedName>
    <definedName name="x">#REF!</definedName>
    <definedName name="X9701D_일위대가_List" localSheetId="2">#REF!</definedName>
    <definedName name="X9701D_일위대가_List">#REF!</definedName>
    <definedName name="xx" localSheetId="2">#REF!</definedName>
    <definedName name="xx">#REF!</definedName>
    <definedName name="xxx" localSheetId="2">#REF!</definedName>
    <definedName name="xxx">#REF!</definedName>
    <definedName name="xxxxxxx" localSheetId="2" hidden="1">{#N/A,#N/A,FALSE,"MARCH"}</definedName>
    <definedName name="xxxxxxx" hidden="1">{#N/A,#N/A,FALSE,"MARCH"}</definedName>
    <definedName name="Y" localSheetId="2">#REF!</definedName>
    <definedName name="Y">#REF!</definedName>
    <definedName name="Y1Y" localSheetId="2">#REF!</definedName>
    <definedName name="Y1Y">#REF!</definedName>
    <definedName name="Y2Y" localSheetId="2">#REF!</definedName>
    <definedName name="Y2Y">#REF!</definedName>
    <definedName name="Y3Y" localSheetId="2">#REF!</definedName>
    <definedName name="Y3Y">#REF!</definedName>
    <definedName name="YE">#N/A</definedName>
    <definedName name="YEKA">#N/A</definedName>
    <definedName name="YO">[3]BOQ2!$G$577</definedName>
    <definedName name="young1" localSheetId="2">#REF!</definedName>
    <definedName name="young1">#REF!</definedName>
    <definedName name="Z">#N/A</definedName>
    <definedName name="Zip" localSheetId="2">#REF!</definedName>
    <definedName name="Zip">#REF!</definedName>
    <definedName name="ㄱㄱㄱ" localSheetId="2">#REF!</definedName>
    <definedName name="ㄱㄱㄱ">#REF!</definedName>
    <definedName name="가.건축공사" localSheetId="2">#REF!</definedName>
    <definedName name="가.건축공사">#REF!</definedName>
    <definedName name="가.공원시설물공" localSheetId="2">#REF!</definedName>
    <definedName name="가.공원시설물공">#REF!</definedName>
    <definedName name="가유1가도" localSheetId="2">#REF!</definedName>
    <definedName name="가유1가도">#REF!</definedName>
    <definedName name="가유2가도교" localSheetId="2">#REF!</definedName>
    <definedName name="가유2가도교">#REF!</definedName>
    <definedName name="간접" localSheetId="2">#REF!</definedName>
    <definedName name="간접">#REF!</definedName>
    <definedName name="간접노무비" localSheetId="2">#REF!</definedName>
    <definedName name="간접노무비">#REF!</definedName>
    <definedName name="간접노무비요율" localSheetId="2">#REF!</definedName>
    <definedName name="간접노무비요율">#REF!</definedName>
    <definedName name="간접노무비율" localSheetId="2">#REF!</definedName>
    <definedName name="간접노무비율">#REF!</definedName>
    <definedName name="간접노무비표" localSheetId="2">#REF!</definedName>
    <definedName name="간접노무비표">#REF!</definedName>
    <definedName name="갈빌1호" localSheetId="2">#REF!</definedName>
    <definedName name="갈빌1호">#REF!</definedName>
    <definedName name="갈빌2호" localSheetId="2">#REF!</definedName>
    <definedName name="갈빌2호">#REF!</definedName>
    <definedName name="갈빌3호" localSheetId="2">#REF!</definedName>
    <definedName name="갈빌3호">#REF!</definedName>
    <definedName name="갑지" localSheetId="2">#REF!</definedName>
    <definedName name="갑지">#REF!</definedName>
    <definedName name="강십만원율" localSheetId="2">#REF!</definedName>
    <definedName name="강십만원율">#REF!</definedName>
    <definedName name="강십만원이상율" localSheetId="2">#REF!</definedName>
    <definedName name="강십만원이상율">#REF!</definedName>
    <definedName name="강오만원율" localSheetId="2">#REF!</definedName>
    <definedName name="강오만원율">#REF!</definedName>
    <definedName name="강오천원율" localSheetId="2">#REF!</definedName>
    <definedName name="강오천원율">#REF!</definedName>
    <definedName name="강접비" localSheetId="2">#REF!</definedName>
    <definedName name="강접비">#REF!</definedName>
    <definedName name="거더폭" localSheetId="2">#REF!</definedName>
    <definedName name="거더폭">#REF!</definedName>
    <definedName name="거시기" localSheetId="2">#REF!</definedName>
    <definedName name="거시기">#REF!</definedName>
    <definedName name="거ㅣㅅ기" localSheetId="2">#REF!</definedName>
    <definedName name="거ㅣㅅ기">#REF!</definedName>
    <definedName name="견" localSheetId="2">#REF!,#REF!</definedName>
    <definedName name="견">#REF!,#REF!</definedName>
    <definedName name="견적" localSheetId="15">Dlog_Show</definedName>
    <definedName name="견적" localSheetId="2">Dlog_Show</definedName>
    <definedName name="견적">Dlog_Show</definedName>
    <definedName name="견적내역" localSheetId="2">#REF!</definedName>
    <definedName name="견적내역">#REF!</definedName>
    <definedName name="견적서1" localSheetId="2">#REF!</definedName>
    <definedName name="견적서1">#REF!</definedName>
    <definedName name="견적서2" localSheetId="2">#REF!</definedName>
    <definedName name="견적서2">#REF!</definedName>
    <definedName name="견적서3" localSheetId="2">#REF!</definedName>
    <definedName name="견적서3">#REF!</definedName>
    <definedName name="견적서4" localSheetId="2">#REF!</definedName>
    <definedName name="견적서4">#REF!</definedName>
    <definedName name="견적서5" localSheetId="2">#REF!</definedName>
    <definedName name="견적서5">#REF!</definedName>
    <definedName name="견적서6" localSheetId="2">#REF!</definedName>
    <definedName name="견적서6">#REF!</definedName>
    <definedName name="견적집계펴" localSheetId="2">#REF!</definedName>
    <definedName name="견적집계펴">#REF!</definedName>
    <definedName name="견적통보" localSheetId="2">#REF!</definedName>
    <definedName name="견적통보">#REF!</definedName>
    <definedName name="견적현황" localSheetId="2">#REF!</definedName>
    <definedName name="견적현황">#REF!</definedName>
    <definedName name="견적현황1" localSheetId="2">#REF!</definedName>
    <definedName name="견적현황1">#REF!</definedName>
    <definedName name="경" localSheetId="2">#REF!</definedName>
    <definedName name="경">#REF!</definedName>
    <definedName name="경비" localSheetId="2">#REF!</definedName>
    <definedName name="경비">#REF!</definedName>
    <definedName name="경비2" localSheetId="2">#REF!</definedName>
    <definedName name="경비2">#REF!</definedName>
    <definedName name="경비구조물공계" localSheetId="2">#REF!</definedName>
    <definedName name="경비구조물공계">#REF!</definedName>
    <definedName name="경비배수공계" localSheetId="2">#REF!</definedName>
    <definedName name="경비배수공계">#REF!</definedName>
    <definedName name="경비부대공계" localSheetId="2">#REF!</definedName>
    <definedName name="경비부대공계">#REF!</definedName>
    <definedName name="경비율" localSheetId="2">#REF!</definedName>
    <definedName name="경비율">#REF!</definedName>
    <definedName name="경비정기안전" localSheetId="2">#REF!</definedName>
    <definedName name="경비정기안전">#REF!</definedName>
    <definedName name="경비터널공계" localSheetId="2">#REF!</definedName>
    <definedName name="경비터널공계">#REF!</definedName>
    <definedName name="경비토공계" localSheetId="2">#REF!</definedName>
    <definedName name="경비토공계">#REF!</definedName>
    <definedName name="경비포장공계" localSheetId="2">#REF!</definedName>
    <definedName name="경비포장공계">#REF!</definedName>
    <definedName name="경비합" localSheetId="2">#REF!</definedName>
    <definedName name="경비합">#REF!</definedName>
    <definedName name="계" localSheetId="2">#REF!</definedName>
    <definedName name="계">#REF!</definedName>
    <definedName name="고삼1가도교" localSheetId="2">#REF!</definedName>
    <definedName name="고삼1가도교">#REF!</definedName>
    <definedName name="고삼2가도" localSheetId="2">#REF!</definedName>
    <definedName name="고삼2가도">#REF!</definedName>
    <definedName name="고삼교" localSheetId="2">#REF!</definedName>
    <definedName name="고삼교">#REF!</definedName>
    <definedName name="고케" localSheetId="2">#REF!</definedName>
    <definedName name="고케">#REF!</definedName>
    <definedName name="골재" localSheetId="2" hidden="1">{#N/A,#N/A,FALSE,"골재소요량";#N/A,#N/A,FALSE,"골재소요량"}</definedName>
    <definedName name="골재" hidden="1">{#N/A,#N/A,FALSE,"골재소요량";#N/A,#N/A,FALSE,"골재소요량"}</definedName>
    <definedName name="공구" localSheetId="2">#REF!</definedName>
    <definedName name="공구">#REF!</definedName>
    <definedName name="공구경계" localSheetId="2">#REF!</definedName>
    <definedName name="공구경계">#REF!</definedName>
    <definedName name="공급가액" localSheetId="2">#REF!</definedName>
    <definedName name="공급가액">#REF!</definedName>
    <definedName name="공기" localSheetId="2">#REF!</definedName>
    <definedName name="공기">#REF!</definedName>
    <definedName name="공문" localSheetId="2">#REF!</definedName>
    <definedName name="공문">#REF!</definedName>
    <definedName name="공사감리율" localSheetId="2">#REF!</definedName>
    <definedName name="공사감리율">#REF!</definedName>
    <definedName name="공사개요2" localSheetId="2" hidden="1">{#N/A,#N/A,FALSE,"골재소요량";#N/A,#N/A,FALSE,"골재소요량"}</definedName>
    <definedName name="공사개요2" hidden="1">{#N/A,#N/A,FALSE,"골재소요량";#N/A,#N/A,FALSE,"골재소요량"}</definedName>
    <definedName name="공사명" localSheetId="2">#REF!</definedName>
    <definedName name="공사명">#REF!</definedName>
    <definedName name="공사비" localSheetId="2">#REF!</definedName>
    <definedName name="공사비">#REF!</definedName>
    <definedName name="공사비산출" localSheetId="2">#REF!</definedName>
    <definedName name="공사비산출">#REF!</definedName>
    <definedName name="공사인보">#N/A</definedName>
    <definedName name="공사일지" localSheetId="2" hidden="1">{#N/A,#N/A,FALSE,"전력간선"}</definedName>
    <definedName name="공사일지" hidden="1">{#N/A,#N/A,FALSE,"전력간선"}</definedName>
    <definedName name="공종" localSheetId="2">#REF!</definedName>
    <definedName name="공종">#REF!</definedName>
    <definedName name="공종갯수" localSheetId="2">#REF!</definedName>
    <definedName name="공종갯수">#REF!</definedName>
    <definedName name="관0.8_1.1" localSheetId="2">#REF!</definedName>
    <definedName name="관0.8_1.1">#REF!</definedName>
    <definedName name="관1.2_1.5" localSheetId="2">#REF!</definedName>
    <definedName name="관1.2_1.5">#REF!</definedName>
    <definedName name="관급" localSheetId="2">#REF!,#REF!,#REF!</definedName>
    <definedName name="관급">#REF!,#REF!,#REF!</definedName>
    <definedName name="관급액" localSheetId="2">#REF!</definedName>
    <definedName name="관급액">#REF!</definedName>
    <definedName name="관급자" localSheetId="2">#REF!</definedName>
    <definedName name="관급자">#REF!</definedName>
    <definedName name="관급자재대" localSheetId="2">#REF!</definedName>
    <definedName name="관급자재대">#REF!</definedName>
    <definedName name="관급자재비" localSheetId="2">#REF!</definedName>
    <definedName name="관급자재비">#REF!</definedName>
    <definedName name="관로연장거리" localSheetId="2">#REF!</definedName>
    <definedName name="관로연장거리">#REF!</definedName>
    <definedName name="관절8다" localSheetId="2">#REF!</definedName>
    <definedName name="관절8다">#REF!</definedName>
    <definedName name="관정지반고" localSheetId="2">#REF!</definedName>
    <definedName name="관정지반고">#REF!</definedName>
    <definedName name="교량별타공종이기수량">#N/A</definedName>
    <definedName name="교량별타공종이기수량ㅈ비계표">#N/A</definedName>
    <definedName name="교육" localSheetId="2" hidden="1">{#N/A,#N/A,FALSE,"전력간선"}</definedName>
    <definedName name="교육" hidden="1">{#N/A,#N/A,FALSE,"전력간선"}</definedName>
    <definedName name="구간" localSheetId="2">#REF!</definedName>
    <definedName name="구간">#REF!</definedName>
    <definedName name="구미제" localSheetId="2">#REF!</definedName>
    <definedName name="구미제">#REF!</definedName>
    <definedName name="구조물" localSheetId="2">#REF!</definedName>
    <definedName name="구조물">#REF!</definedName>
    <definedName name="구조물공계" localSheetId="2">#REF!</definedName>
    <definedName name="구조물공계">#REF!</definedName>
    <definedName name="국광" localSheetId="2">#REF!</definedName>
    <definedName name="국광">#REF!</definedName>
    <definedName name="국광거래명세서" localSheetId="2">#REF!</definedName>
    <definedName name="국광거래명세서">#REF!</definedName>
    <definedName name="군유1" localSheetId="2">#REF!</definedName>
    <definedName name="군유1">#REF!</definedName>
    <definedName name="군유2" localSheetId="2">#REF!</definedName>
    <definedName name="군유2">#REF!</definedName>
    <definedName name="군유3" localSheetId="2">#REF!</definedName>
    <definedName name="군유3">#REF!</definedName>
    <definedName name="군유4" localSheetId="2">#REF!</definedName>
    <definedName name="군유4">#REF!</definedName>
    <definedName name="군유5" localSheetId="2">#REF!</definedName>
    <definedName name="군유5">#REF!</definedName>
    <definedName name="군유6" localSheetId="2">#REF!</definedName>
    <definedName name="군유6">#REF!</definedName>
    <definedName name="군유7" localSheetId="2">#REF!</definedName>
    <definedName name="군유7">#REF!</definedName>
    <definedName name="금강1" localSheetId="2">#REF!</definedName>
    <definedName name="금강1">#REF!</definedName>
    <definedName name="기성내역">#N/A</definedName>
    <definedName name="기십만원율" localSheetId="2">#REF!</definedName>
    <definedName name="기십만원율">#REF!</definedName>
    <definedName name="기십만원이상" localSheetId="2">#REF!</definedName>
    <definedName name="기십만원이상">#REF!</definedName>
    <definedName name="기오만원율" localSheetId="2">#REF!</definedName>
    <definedName name="기오만원율">#REF!</definedName>
    <definedName name="기오천원율" localSheetId="2">#REF!</definedName>
    <definedName name="기오천원율">#REF!</definedName>
    <definedName name="기자재중량" localSheetId="2">#REF!</definedName>
    <definedName name="기자재중량">#REF!</definedName>
    <definedName name="기존도로상태" localSheetId="2" hidden="1">{#N/A,#N/A,FALSE,"혼합골재"}</definedName>
    <definedName name="기존도로상태" hidden="1">{#N/A,#N/A,FALSE,"혼합골재"}</definedName>
    <definedName name="기초데이타" localSheetId="2">#REF!</definedName>
    <definedName name="기초데이타">#REF!</definedName>
    <definedName name="기초액" localSheetId="2">#REF!</definedName>
    <definedName name="기초액">#REF!</definedName>
    <definedName name="기타" localSheetId="2">#REF!</definedName>
    <definedName name="기타">#REF!</definedName>
    <definedName name="기타경비" localSheetId="2">#REF!</definedName>
    <definedName name="기타경비">#REF!</definedName>
    <definedName name="기타경비요율" localSheetId="2">#REF!</definedName>
    <definedName name="기타경비요율">#REF!</definedName>
    <definedName name="기타경비표" localSheetId="2">#REF!</definedName>
    <definedName name="기타경비표">#REF!</definedName>
    <definedName name="ㄳ"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ㄳ"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ㄴㅇㅁㄹㅁㄹ">#N/A</definedName>
    <definedName name="ㄴㅇㅎㅇ" localSheetId="2">#REF!</definedName>
    <definedName name="ㄴㅇㅎㅇ">#REF!</definedName>
    <definedName name="나." localSheetId="2">#REF!</definedName>
    <definedName name="나.">#REF!</definedName>
    <definedName name="나.주거공단완충녹지시설물공" localSheetId="2">#REF!</definedName>
    <definedName name="나.주거공단완충녹지시설물공">#REF!</definedName>
    <definedName name="낙교개수" localSheetId="2">#REF!</definedName>
    <definedName name="낙교개수">#REF!</definedName>
    <definedName name="낙찰가">#N/A</definedName>
    <definedName name="남산1호" localSheetId="2">#REF!</definedName>
    <definedName name="남산1호">#REF!</definedName>
    <definedName name="남산2호" localSheetId="2">#REF!</definedName>
    <definedName name="남산2호">#REF!</definedName>
    <definedName name="내역" localSheetId="2">#REF!</definedName>
    <definedName name="내역">#REF!</definedName>
    <definedName name="내역2" localSheetId="2">#REF!</definedName>
    <definedName name="내역2">#REF!</definedName>
    <definedName name="내역서" localSheetId="2">#REF!</definedName>
    <definedName name="내역서">#REF!</definedName>
    <definedName name="내전" localSheetId="2">#REF!</definedName>
    <definedName name="내전">#REF!</definedName>
    <definedName name="노" localSheetId="2">#REF!</definedName>
    <definedName name="노">#REF!</definedName>
    <definedName name="노곡1호" localSheetId="2">#REF!</definedName>
    <definedName name="노곡1호">#REF!</definedName>
    <definedName name="노곡2호" localSheetId="2">#REF!</definedName>
    <definedName name="노곡2호">#REF!</definedName>
    <definedName name="노곡3호" localSheetId="2">#REF!</definedName>
    <definedName name="노곡3호">#REF!</definedName>
    <definedName name="노곡4호" localSheetId="2">#REF!</definedName>
    <definedName name="노곡4호">#REF!</definedName>
    <definedName name="노곡가도교" localSheetId="2">#REF!</definedName>
    <definedName name="노곡가도교">#REF!</definedName>
    <definedName name="노곡교" localSheetId="2">#REF!</definedName>
    <definedName name="노곡교">#REF!</definedName>
    <definedName name="노무비" localSheetId="2">#REF!</definedName>
    <definedName name="노무비">#REF!</definedName>
    <definedName name="노무비구조물공계" localSheetId="2">#REF!</definedName>
    <definedName name="노무비구조물공계">#REF!</definedName>
    <definedName name="노무비배수공계" localSheetId="2">#REF!</definedName>
    <definedName name="노무비배수공계">#REF!</definedName>
    <definedName name="노무비부대공계" localSheetId="2">#REF!</definedName>
    <definedName name="노무비부대공계">#REF!</definedName>
    <definedName name="노무비정기안전" localSheetId="2">#REF!</definedName>
    <definedName name="노무비정기안전">#REF!</definedName>
    <definedName name="노무비터널공계" localSheetId="2">#REF!</definedName>
    <definedName name="노무비터널공계">#REF!</definedName>
    <definedName name="노무비토공계" localSheetId="2">#REF!</definedName>
    <definedName name="노무비토공계">#REF!</definedName>
    <definedName name="노무비포장공계" localSheetId="2">#REF!</definedName>
    <definedName name="노무비포장공계">#REF!</definedName>
    <definedName name="노무비합" localSheetId="2">#REF!</definedName>
    <definedName name="노무비합">#REF!</definedName>
    <definedName name="노부비" localSheetId="2">#REF!</definedName>
    <definedName name="노부비">#REF!</definedName>
    <definedName name="노임" localSheetId="2">#REF!</definedName>
    <definedName name="노임">#REF!</definedName>
    <definedName name="노임단가" localSheetId="2">#REF!</definedName>
    <definedName name="노임단가">#REF!</definedName>
    <definedName name="농원1호" localSheetId="2">#REF!</definedName>
    <definedName name="농원1호">#REF!</definedName>
    <definedName name="농원2호" localSheetId="2">#REF!</definedName>
    <definedName name="농원2호">#REF!</definedName>
    <definedName name="ㄷㄷ" localSheetId="2">#REF!</definedName>
    <definedName name="ㄷㄷ">#REF!</definedName>
    <definedName name="다" localSheetId="2" hidden="1">{#N/A,#N/A,FALSE,"운반시간"}</definedName>
    <definedName name="다" hidden="1">{#N/A,#N/A,FALSE,"운반시간"}</definedName>
    <definedName name="다." localSheetId="2">#REF!</definedName>
    <definedName name="다.">#REF!</definedName>
    <definedName name="단ㄱ" localSheetId="2" hidden="1">{#N/A,#N/A,FALSE,"전력간선"}</definedName>
    <definedName name="단ㄱ" hidden="1">{#N/A,#N/A,FALSE,"전력간선"}</definedName>
    <definedName name="단가" localSheetId="2">#REF!,#REF!</definedName>
    <definedName name="단가">#REF!,#REF!</definedName>
    <definedName name="단가2" localSheetId="2">#REF!,#REF!</definedName>
    <definedName name="단가2">#REF!,#REF!</definedName>
    <definedName name="단가비교표" localSheetId="2">#REF!,#REF!</definedName>
    <definedName name="단가비교표">#REF!,#REF!</definedName>
    <definedName name="단가표" localSheetId="2">#REF!</definedName>
    <definedName name="단가표">#REF!</definedName>
    <definedName name="단위" localSheetId="2">#REF!,#REF!</definedName>
    <definedName name="단위">#REF!,#REF!</definedName>
    <definedName name="단차" localSheetId="2">#REF!</definedName>
    <definedName name="단차">#REF!</definedName>
    <definedName name="대가" localSheetId="2">#REF!,#REF!</definedName>
    <definedName name="대가">#REF!,#REF!</definedName>
    <definedName name="대농교" localSheetId="2">#REF!</definedName>
    <definedName name="대농교">#REF!</definedName>
    <definedName name="대안" localSheetId="2">#REF!</definedName>
    <definedName name="대안">#REF!</definedName>
    <definedName name="대안기준" localSheetId="2">#REF!</definedName>
    <definedName name="대안기준">#REF!</definedName>
    <definedName name="덕산1호" localSheetId="2">#REF!</definedName>
    <definedName name="덕산1호">#REF!</definedName>
    <definedName name="덕산2호" localSheetId="2">#REF!</definedName>
    <definedName name="덕산2호">#REF!</definedName>
    <definedName name="덕산3호" localSheetId="2">#REF!</definedName>
    <definedName name="덕산3호">#REF!</definedName>
    <definedName name="덕산4호" localSheetId="2">#REF!</definedName>
    <definedName name="덕산4호">#REF!</definedName>
    <definedName name="덕전1호" localSheetId="2">#REF!</definedName>
    <definedName name="덕전1호">#REF!</definedName>
    <definedName name="덕전2호" localSheetId="2">#REF!</definedName>
    <definedName name="덕전2호">#REF!</definedName>
    <definedName name="덕전3호" localSheetId="2">#REF!</definedName>
    <definedName name="덕전3호">#REF!</definedName>
    <definedName name="덕지1호" localSheetId="2">#REF!</definedName>
    <definedName name="덕지1호">#REF!</definedName>
    <definedName name="덕천1호" localSheetId="2">#REF!</definedName>
    <definedName name="덕천1호">#REF!</definedName>
    <definedName name="덕천2호" localSheetId="2">#REF!</definedName>
    <definedName name="덕천2호">#REF!</definedName>
    <definedName name="덕천3호" localSheetId="2">#REF!</definedName>
    <definedName name="덕천3호">#REF!</definedName>
    <definedName name="덕천4호" localSheetId="2">#REF!</definedName>
    <definedName name="덕천4호">#REF!</definedName>
    <definedName name="도경비금액" localSheetId="2">#REF!</definedName>
    <definedName name="도경비금액">#REF!</definedName>
    <definedName name="도경비단가" localSheetId="2">#REF!</definedName>
    <definedName name="도경비단가">#REF!</definedName>
    <definedName name="도급" localSheetId="2">#REF!</definedName>
    <definedName name="도급">#REF!</definedName>
    <definedName name="도급가" localSheetId="2">#REF!</definedName>
    <definedName name="도급가">#REF!</definedName>
    <definedName name="도급공사" localSheetId="2">#REF!</definedName>
    <definedName name="도급공사">#REF!</definedName>
    <definedName name="도급공사비" localSheetId="2">#REF!</definedName>
    <definedName name="도급공사비">#REF!</definedName>
    <definedName name="도급구조물공계" localSheetId="2">#REF!</definedName>
    <definedName name="도급구조물공계">#REF!</definedName>
    <definedName name="도급배수공계" localSheetId="2">#REF!</definedName>
    <definedName name="도급배수공계">#REF!</definedName>
    <definedName name="도급부대공계" localSheetId="2">#REF!</definedName>
    <definedName name="도급부대공계">#REF!</definedName>
    <definedName name="도급순전체" localSheetId="2">#REF!</definedName>
    <definedName name="도급순전체">#REF!</definedName>
    <definedName name="도급실행" localSheetId="2">#REF!</definedName>
    <definedName name="도급실행">#REF!</definedName>
    <definedName name="도급액" localSheetId="2">#REF!</definedName>
    <definedName name="도급액">#REF!</definedName>
    <definedName name="도급예산액" localSheetId="2">#REF!</definedName>
    <definedName name="도급예산액">#REF!</definedName>
    <definedName name="도급예상액" localSheetId="2">#REF!</definedName>
    <definedName name="도급예상액">#REF!</definedName>
    <definedName name="도급정기안전" localSheetId="2">#REF!</definedName>
    <definedName name="도급정기안전">#REF!</definedName>
    <definedName name="도급터널공계" localSheetId="2">#REF!</definedName>
    <definedName name="도급터널공계">#REF!</definedName>
    <definedName name="도급토공계" localSheetId="2">#REF!</definedName>
    <definedName name="도급토공계">#REF!</definedName>
    <definedName name="도급포장공계" localSheetId="2">#REF!</definedName>
    <definedName name="도급포장공계">#REF!</definedName>
    <definedName name="도노무비금액" localSheetId="2">#REF!</definedName>
    <definedName name="도노무비금액">#REF!</definedName>
    <definedName name="도노무비단가" localSheetId="2">#REF!</definedName>
    <definedName name="도노무비단가">#REF!</definedName>
    <definedName name="도로" localSheetId="2" hidden="1">{#N/A,#N/A,FALSE,"2~8번"}</definedName>
    <definedName name="도로" hidden="1">{#N/A,#N/A,FALSE,"2~8번"}</definedName>
    <definedName name="도원수" localSheetId="2">#REF!</definedName>
    <definedName name="도원수">#REF!</definedName>
    <definedName name="도재료비금액" localSheetId="2">#REF!</definedName>
    <definedName name="도재료비금액">#REF!</definedName>
    <definedName name="도재료비단가" localSheetId="2">#REF!</definedName>
    <definedName name="도재료비단가">#REF!</definedName>
    <definedName name="돈" localSheetId="2">#REF!,#REF!</definedName>
    <definedName name="돈">#REF!,#REF!</definedName>
    <definedName name="돌" localSheetId="2">#REF!</definedName>
    <definedName name="돌">#REF!</definedName>
    <definedName name="동별" localSheetId="2">#REF!</definedName>
    <definedName name="동별">#REF!</definedName>
    <definedName name="동별내역" localSheetId="2">#REF!</definedName>
    <definedName name="동별내역">#REF!</definedName>
    <definedName name="동별설계" localSheetId="2">#REF!</definedName>
    <definedName name="동별설계">#REF!</definedName>
    <definedName name="동신" localSheetId="2">#REF!</definedName>
    <definedName name="동신">#REF!</definedName>
    <definedName name="동신거래명세서" localSheetId="2">#REF!</definedName>
    <definedName name="동신거래명세서">#REF!</definedName>
    <definedName name="두기1" localSheetId="2">#REF!</definedName>
    <definedName name="두기1">#REF!</definedName>
    <definedName name="두기1호" localSheetId="2">#REF!</definedName>
    <definedName name="두기1호">#REF!</definedName>
    <definedName name="두기2" localSheetId="2">#REF!</definedName>
    <definedName name="두기2">#REF!</definedName>
    <definedName name="두기2호" localSheetId="2">#REF!</definedName>
    <definedName name="두기2호">#REF!</definedName>
    <definedName name="두기3" localSheetId="2">#REF!</definedName>
    <definedName name="두기3">#REF!</definedName>
    <definedName name="두기3호" localSheetId="2">#REF!</definedName>
    <definedName name="두기3호">#REF!</definedName>
    <definedName name="러ㅏㄹ" localSheetId="2">#REF!</definedName>
    <definedName name="러ㅏㄹ">#REF!</definedName>
    <definedName name="루베" localSheetId="2">#REF!</definedName>
    <definedName name="루베">#REF!</definedName>
    <definedName name="ㅀ" localSheetId="2">#REF!</definedName>
    <definedName name="ㅀ">#REF!</definedName>
    <definedName name="ㅁ1" localSheetId="2">#REF!</definedName>
    <definedName name="ㅁ1">#REF!</definedName>
    <definedName name="ㅁ100" localSheetId="2">#REF!</definedName>
    <definedName name="ㅁ100">#REF!</definedName>
    <definedName name="ㅁ1000" localSheetId="2">#REF!</definedName>
    <definedName name="ㅁ1000">#REF!</definedName>
    <definedName name="ㅁ1700" localSheetId="2">#REF!</definedName>
    <definedName name="ㅁ1700">#REF!</definedName>
    <definedName name="ㅁ1800" localSheetId="2">#REF!</definedName>
    <definedName name="ㅁ1800">#REF!</definedName>
    <definedName name="ㅁ1882" localSheetId="2">#REF!</definedName>
    <definedName name="ㅁ1882">#REF!</definedName>
    <definedName name="ㅁ2042" localSheetId="2">#REF!</definedName>
    <definedName name="ㅁ2042">#REF!</definedName>
    <definedName name="ㅁ2200" localSheetId="2">#REF!</definedName>
    <definedName name="ㅁ2200">#REF!</definedName>
    <definedName name="ㅁ2400" localSheetId="2">#REF!</definedName>
    <definedName name="ㅁ2400">#REF!</definedName>
    <definedName name="ㅁA100" localSheetId="2">#REF!</definedName>
    <definedName name="ㅁA100">#REF!</definedName>
    <definedName name="ㅁㄴ" localSheetId="2" hidden="1">{#N/A,#N/A,FALSE,"운반시간"}</definedName>
    <definedName name="ㅁㄴ" hidden="1">{#N/A,#N/A,FALSE,"운반시간"}</definedName>
    <definedName name="ㅁㄴㄹ" localSheetId="2" hidden="1">{#N/A,#N/A,FALSE,"전력간선"}</definedName>
    <definedName name="ㅁㄴㄹ" hidden="1">{#N/A,#N/A,FALSE,"전력간선"}</definedName>
    <definedName name="ㅁㅁ" localSheetId="2" hidden="1">{#N/A,#N/A,FALSE,"운반시간"}</definedName>
    <definedName name="ㅁㅁ" hidden="1">{#N/A,#N/A,FALSE,"운반시간"}</definedName>
    <definedName name="ㅁㅁㅁ" localSheetId="2">#REF!</definedName>
    <definedName name="ㅁㅁㅁ">#REF!</definedName>
    <definedName name="ㅁㅁㅁㅁ" localSheetId="2" hidden="1">{#N/A,#N/A,FALSE,"혼합골재"}</definedName>
    <definedName name="ㅁㅁㅁㅁ" hidden="1">{#N/A,#N/A,FALSE,"혼합골재"}</definedName>
    <definedName name="ㅁㅈㄱㄷㅎㄹ">#N/A</definedName>
    <definedName name="매크로2" localSheetId="2">#REF!</definedName>
    <definedName name="매크로2">#REF!</definedName>
    <definedName name="매크로3" localSheetId="2">#REF!</definedName>
    <definedName name="매크로3">#REF!</definedName>
    <definedName name="매크로4" localSheetId="2">#REF!</definedName>
    <definedName name="매크로4">#REF!</definedName>
    <definedName name="매크로7" localSheetId="2">#REF!</definedName>
    <definedName name="매크로7">#REF!</definedName>
    <definedName name="매크로8" localSheetId="2">#REF!</definedName>
    <definedName name="매크로8">#REF!</definedName>
    <definedName name="매크로9" localSheetId="2">#REF!</definedName>
    <definedName name="매크로9">#REF!</definedName>
    <definedName name="메1" localSheetId="2">#REF!</definedName>
    <definedName name="메1">#REF!</definedName>
    <definedName name="면적" localSheetId="2">#REF!</definedName>
    <definedName name="면적">#REF!</definedName>
    <definedName name="명세" localSheetId="2">#REF!</definedName>
    <definedName name="명세">#REF!</definedName>
    <definedName name="명칭" localSheetId="2">#REF!</definedName>
    <definedName name="명칭">#REF!</definedName>
    <definedName name="모래다짐인건비" localSheetId="2">#REF!</definedName>
    <definedName name="모래다짐인건비">#REF!</definedName>
    <definedName name="모래다짐자재비" localSheetId="2">#REF!</definedName>
    <definedName name="모래다짐자재비">#REF!</definedName>
    <definedName name="모산가도교" localSheetId="2">#REF!</definedName>
    <definedName name="모산가도교">#REF!</definedName>
    <definedName name="목자" localSheetId="2" hidden="1">{#N/A,#N/A,FALSE,"전력간선"}</definedName>
    <definedName name="목자" hidden="1">{#N/A,#N/A,FALSE,"전력간선"}</definedName>
    <definedName name="목차" localSheetId="2" hidden="1">{#N/A,#N/A,FALSE,"2~8번"}</definedName>
    <definedName name="목차" hidden="1">{#N/A,#N/A,FALSE,"2~8번"}</definedName>
    <definedName name="몰라" localSheetId="2">#REF!</definedName>
    <definedName name="몰라">#REF!</definedName>
    <definedName name="무농1호" localSheetId="2">#REF!</definedName>
    <definedName name="무농1호">#REF!</definedName>
    <definedName name="무농2호" localSheetId="2">#REF!</definedName>
    <definedName name="무농2호">#REF!</definedName>
    <definedName name="무안" localSheetId="2">#REF!</definedName>
    <definedName name="무안">#REF!</definedName>
    <definedName name="무콘인건비" localSheetId="2">#REF!</definedName>
    <definedName name="무콘인건비">#REF!</definedName>
    <definedName name="민" localSheetId="2">#REF!</definedName>
    <definedName name="민">#REF!</definedName>
    <definedName name="ㅂㅂ" localSheetId="2" hidden="1">{#N/A,#N/A,FALSE,"표지"}</definedName>
    <definedName name="ㅂㅂ" hidden="1">{#N/A,#N/A,FALSE,"표지"}</definedName>
    <definedName name="ㅂㅈ" localSheetId="2" hidden="1">{#N/A,#N/A,TRUE,"1";#N/A,#N/A,TRUE,"2";#N/A,#N/A,TRUE,"3";#N/A,#N/A,TRUE,"4";#N/A,#N/A,TRUE,"5";#N/A,#N/A,TRUE,"6";#N/A,#N/A,TRUE,"7"}</definedName>
    <definedName name="ㅂㅈ" hidden="1">{#N/A,#N/A,TRUE,"1";#N/A,#N/A,TRUE,"2";#N/A,#N/A,TRUE,"3";#N/A,#N/A,TRUE,"4";#N/A,#N/A,TRUE,"5";#N/A,#N/A,TRUE,"6";#N/A,#N/A,TRUE,"7"}</definedName>
    <definedName name="ㅂㅋㅋ" localSheetId="2">#REF!</definedName>
    <definedName name="ㅂㅋㅋ">#REF!</definedName>
    <definedName name="바보" localSheetId="2" hidden="1">{#N/A,#N/A,FALSE,"표지목차"}</definedName>
    <definedName name="바보" hidden="1">{#N/A,#N/A,FALSE,"표지목차"}</definedName>
    <definedName name="바보2" localSheetId="2" hidden="1">{#N/A,#N/A,FALSE,"운반시간"}</definedName>
    <definedName name="바보2" hidden="1">{#N/A,#N/A,FALSE,"운반시간"}</definedName>
    <definedName name="바붕" localSheetId="2" hidden="1">{#N/A,#N/A,FALSE,"전력간선"}</definedName>
    <definedName name="바붕" hidden="1">{#N/A,#N/A,FALSE,"전력간선"}</definedName>
    <definedName name="박은하" localSheetId="15">Dlog_Show</definedName>
    <definedName name="박은하" localSheetId="2">Dlog_Show</definedName>
    <definedName name="박은하">Dlog_Show</definedName>
    <definedName name="반" localSheetId="2">#REF!</definedName>
    <definedName name="반">#REF!</definedName>
    <definedName name="밥보" localSheetId="2" hidden="1">{#N/A,#N/A,FALSE,"표지목차"}</definedName>
    <definedName name="밥보" hidden="1">{#N/A,#N/A,FALSE,"표지목차"}</definedName>
    <definedName name="배경비금액" localSheetId="2">#REF!</definedName>
    <definedName name="배경비금액">#REF!</definedName>
    <definedName name="배경비단가" localSheetId="2">#REF!</definedName>
    <definedName name="배경비단가">#REF!</definedName>
    <definedName name="배노무비금액" localSheetId="2">#REF!</definedName>
    <definedName name="배노무비금액">#REF!</definedName>
    <definedName name="배노무비단가" localSheetId="2">#REF!</definedName>
    <definedName name="배노무비단가">#REF!</definedName>
    <definedName name="배수공" localSheetId="2">#REF!</definedName>
    <definedName name="배수공">#REF!</definedName>
    <definedName name="배수공계" localSheetId="2">#REF!</definedName>
    <definedName name="배수공계">#REF!</definedName>
    <definedName name="배원수" localSheetId="2">#REF!</definedName>
    <definedName name="배원수">#REF!</definedName>
    <definedName name="배재료비금액" localSheetId="2">#REF!</definedName>
    <definedName name="배재료비금액">#REF!</definedName>
    <definedName name="배재료비단가" localSheetId="2">#REF!</definedName>
    <definedName name="배재료비단가">#REF!</definedName>
    <definedName name="배전" localSheetId="2">#REF!</definedName>
    <definedName name="배전">#REF!</definedName>
    <definedName name="번들1호" localSheetId="2">#REF!</definedName>
    <definedName name="번들1호">#REF!</definedName>
    <definedName name="번들2호" localSheetId="2">#REF!</definedName>
    <definedName name="번들2호">#REF!</definedName>
    <definedName name="번들3호" localSheetId="2">#REF!</definedName>
    <definedName name="번들3호">#REF!</definedName>
    <definedName name="번호" localSheetId="2">#REF!</definedName>
    <definedName name="번호">#REF!</definedName>
    <definedName name="벽돌쌓기인건비" localSheetId="2">#REF!</definedName>
    <definedName name="벽돌쌓기인건비">#REF!</definedName>
    <definedName name="벽돌쌓기자재비" localSheetId="2">#REF!</definedName>
    <definedName name="벽돌쌓기자재비">#REF!</definedName>
    <definedName name="보동가도교" localSheetId="2">#REF!</definedName>
    <definedName name="보동가도교">#REF!</definedName>
    <definedName name="보동가독ㅅ" localSheetId="2">#REF!</definedName>
    <definedName name="보동가독ㅅ">#REF!</definedName>
    <definedName name="보상비수" localSheetId="2">#REF!</definedName>
    <definedName name="보상비수">#REF!</definedName>
    <definedName name="보상비평" localSheetId="2">#REF!</definedName>
    <definedName name="보상비평">#REF!</definedName>
    <definedName name="보인" localSheetId="2">#REF!</definedName>
    <definedName name="보인">#REF!</definedName>
    <definedName name="보활" localSheetId="2">#REF!</definedName>
    <definedName name="보활">#REF!</definedName>
    <definedName name="본문" localSheetId="2">#REF!</definedName>
    <definedName name="본문">#REF!</definedName>
    <definedName name="부가가치세" localSheetId="2">#REF!</definedName>
    <definedName name="부가가치세">#REF!</definedName>
    <definedName name="부가가치세요율" localSheetId="2">#REF!</definedName>
    <definedName name="부가가치세요율">#REF!</definedName>
    <definedName name="부가가치표" localSheetId="2">#REF!</definedName>
    <definedName name="부가가치표">#REF!</definedName>
    <definedName name="부경비금액" localSheetId="2">#REF!</definedName>
    <definedName name="부경비금액">#REF!</definedName>
    <definedName name="부경비단가" localSheetId="2">#REF!</definedName>
    <definedName name="부경비단가">#REF!</definedName>
    <definedName name="부노무비금액" localSheetId="2">#REF!</definedName>
    <definedName name="부노무비금액">#REF!</definedName>
    <definedName name="부노무비단가" localSheetId="2">#REF!</definedName>
    <definedName name="부노무비단가">#REF!</definedName>
    <definedName name="부대공" localSheetId="2">#REF!</definedName>
    <definedName name="부대공">#REF!</definedName>
    <definedName name="부대공계" localSheetId="2">#REF!</definedName>
    <definedName name="부대공계">#REF!</definedName>
    <definedName name="부대내역비교" localSheetId="2">#REF!</definedName>
    <definedName name="부대내역비교">#REF!</definedName>
    <definedName name="부대사항" localSheetId="2">#REF!</definedName>
    <definedName name="부대사항">#REF!</definedName>
    <definedName name="부대입찰잡비" localSheetId="15">Dlog_Show</definedName>
    <definedName name="부대입찰잡비" localSheetId="2">Dlog_Show</definedName>
    <definedName name="부대입찰잡비">Dlog_Show</definedName>
    <definedName name="부산2" localSheetId="2">#REF!</definedName>
    <definedName name="부산2">#REF!</definedName>
    <definedName name="부원수" localSheetId="2">#REF!</definedName>
    <definedName name="부원수">#REF!</definedName>
    <definedName name="부재료비금액" localSheetId="2">#REF!</definedName>
    <definedName name="부재료비금액">#REF!</definedName>
    <definedName name="부재료비단가" localSheetId="2">#REF!</definedName>
    <definedName name="부재료비단가">#REF!</definedName>
    <definedName name="부토" localSheetId="15">Dlog_Show</definedName>
    <definedName name="부토" localSheetId="2">Dlog_Show</definedName>
    <definedName name="부토">Dlog_Show</definedName>
    <definedName name="분강제" localSheetId="2">#REF!</definedName>
    <definedName name="분강제">#REF!</definedName>
    <definedName name="분담이행" localSheetId="2">#REF!</definedName>
    <definedName name="분담이행">#REF!</definedName>
    <definedName name="분할" localSheetId="2">#REF!</definedName>
    <definedName name="분할">#REF!</definedName>
    <definedName name="블록쌓기인건비" localSheetId="2">#REF!</definedName>
    <definedName name="블록쌓기인건비">#REF!</definedName>
    <definedName name="블록쌓기자재비" localSheetId="2">#REF!</definedName>
    <definedName name="블록쌓기자재비">#REF!</definedName>
    <definedName name="비계" localSheetId="2">#REF!</definedName>
    <definedName name="비계">#REF!</definedName>
    <definedName name="비목1" localSheetId="2">#REF!</definedName>
    <definedName name="비목1">#REF!</definedName>
    <definedName name="비목2" localSheetId="2">#REF!</definedName>
    <definedName name="비목2">#REF!</definedName>
    <definedName name="비목3" localSheetId="2">#REF!</definedName>
    <definedName name="비목3">#REF!</definedName>
    <definedName name="비목4" localSheetId="2">#REF!</definedName>
    <definedName name="비목4">#REF!</definedName>
    <definedName name="비율" localSheetId="2">#REF!</definedName>
    <definedName name="비율">#REF!</definedName>
    <definedName name="사급" localSheetId="2">#REF!</definedName>
    <definedName name="사급">#REF!</definedName>
    <definedName name="사급자재대" localSheetId="2">#REF!</definedName>
    <definedName name="사급자재대">#REF!</definedName>
    <definedName name="사랑" localSheetId="2">#REF!</definedName>
    <definedName name="사랑">#REF!</definedName>
    <definedName name="사업계획" localSheetId="2">#REF!</definedName>
    <definedName name="사업계획">#REF!</definedName>
    <definedName name="사업계획용">#N/A</definedName>
    <definedName name="사업관리율" localSheetId="2">#REF!</definedName>
    <definedName name="사업관리율">#REF!</definedName>
    <definedName name="사진2" localSheetId="2" hidden="1">{#N/A,#N/A,FALSE,"전력간선"}</definedName>
    <definedName name="사진2" hidden="1">{#N/A,#N/A,FALSE,"전력간선"}</definedName>
    <definedName name="사진3" localSheetId="2" hidden="1">{#N/A,#N/A,FALSE,"2~8번"}</definedName>
    <definedName name="사진3" hidden="1">{#N/A,#N/A,FALSE,"2~8번"}</definedName>
    <definedName name="산재보험료" localSheetId="2">#REF!</definedName>
    <definedName name="산재보험료">#REF!</definedName>
    <definedName name="산재보험료요율" localSheetId="2">#REF!</definedName>
    <definedName name="산재보험료요율">#REF!</definedName>
    <definedName name="산재보험료율" localSheetId="2">#REF!</definedName>
    <definedName name="산재보험료율">#REF!</definedName>
    <definedName name="산재보험료표" localSheetId="2">#REF!</definedName>
    <definedName name="산재보험료표">#REF!</definedName>
    <definedName name="산출경비" localSheetId="2">#REF!</definedName>
    <definedName name="산출경비">#REF!</definedName>
    <definedName name="삼.관리및편익시설물공" localSheetId="2">#REF!</definedName>
    <definedName name="삼.관리및편익시설물공">#REF!</definedName>
    <definedName name="상림1호" localSheetId="2">#REF!</definedName>
    <definedName name="상림1호">#REF!</definedName>
    <definedName name="상림2호" localSheetId="2">#REF!</definedName>
    <definedName name="상림2호">#REF!</definedName>
    <definedName name="상림3호" localSheetId="2">#REF!</definedName>
    <definedName name="상림3호">#REF!</definedName>
    <definedName name="새표지" localSheetId="2">#REF!</definedName>
    <definedName name="새표지">#REF!</definedName>
    <definedName name="생사1호" localSheetId="2">#REF!</definedName>
    <definedName name="생사1호">#REF!</definedName>
    <definedName name="생사2호" localSheetId="2">#REF!</definedName>
    <definedName name="생사2호">#REF!</definedName>
    <definedName name="생사기존" localSheetId="2">#REF!</definedName>
    <definedName name="생사기존">#REF!</definedName>
    <definedName name="서초서원" localSheetId="2">#REF!</definedName>
    <definedName name="서초서원">#REF!</definedName>
    <definedName name="선량1호" localSheetId="2">#REF!</definedName>
    <definedName name="선량1호">#REF!</definedName>
    <definedName name="선량2호" localSheetId="2">#REF!</definedName>
    <definedName name="선량2호">#REF!</definedName>
    <definedName name="선량3호" localSheetId="2">#REF!</definedName>
    <definedName name="선량3호">#REF!</definedName>
    <definedName name="선량4호" localSheetId="2">#REF!</definedName>
    <definedName name="선량4호">#REF!</definedName>
    <definedName name="선량5호" localSheetId="2">#REF!</definedName>
    <definedName name="선량5호">#REF!</definedName>
    <definedName name="선정품의" localSheetId="2">#REF!</definedName>
    <definedName name="선정품의">#REF!</definedName>
    <definedName name="설계">#N/A</definedName>
    <definedName name="설계가">#N/A</definedName>
    <definedName name="설변현" localSheetId="2">#REF!</definedName>
    <definedName name="설변현">#REF!</definedName>
    <definedName name="성산1호" localSheetId="2">#REF!</definedName>
    <definedName name="성산1호">#REF!</definedName>
    <definedName name="성산2호" localSheetId="2">#REF!</definedName>
    <definedName name="성산2호">#REF!</definedName>
    <definedName name="성산3호" localSheetId="2">#REF!</definedName>
    <definedName name="성산3호">#REF!</definedName>
    <definedName name="성산4호" localSheetId="2">#REF!</definedName>
    <definedName name="성산4호">#REF!</definedName>
    <definedName name="성산5호" localSheetId="2">#REF!</definedName>
    <definedName name="성산5호">#REF!</definedName>
    <definedName name="세부설계율" localSheetId="2">#REF!</definedName>
    <definedName name="세부설계율">#REF!</definedName>
    <definedName name="소방" localSheetId="2">#REF!</definedName>
    <definedName name="소방">#REF!</definedName>
    <definedName name="송수관로구경" localSheetId="2">#REF!</definedName>
    <definedName name="송수관로구경">#REF!</definedName>
    <definedName name="송천1" localSheetId="2">#REF!</definedName>
    <definedName name="송천1">#REF!</definedName>
    <definedName name="송천2" localSheetId="2">#REF!</definedName>
    <definedName name="송천2">#REF!</definedName>
    <definedName name="수급" localSheetId="2">#REF!</definedName>
    <definedName name="수급">#REF!</definedName>
    <definedName name="수량토공" localSheetId="2">#REF!</definedName>
    <definedName name="수량토공">#REF!</definedName>
    <definedName name="수원공자재" localSheetId="2">#REF!</definedName>
    <definedName name="수원공자재">#REF!</definedName>
    <definedName name="수주명세" localSheetId="2">#REF!</definedName>
    <definedName name="수주명세">#REF!</definedName>
    <definedName name="수중모타1" localSheetId="2">#REF!</definedName>
    <definedName name="수중모타1">#REF!</definedName>
    <definedName name="수중모타10" localSheetId="2">#REF!</definedName>
    <definedName name="수중모타10">#REF!</definedName>
    <definedName name="수중모타15" localSheetId="2">#REF!</definedName>
    <definedName name="수중모타15">#REF!</definedName>
    <definedName name="수중모타2" localSheetId="2">#REF!</definedName>
    <definedName name="수중모타2">#REF!</definedName>
    <definedName name="수중모타20" localSheetId="2">#REF!</definedName>
    <definedName name="수중모타20">#REF!</definedName>
    <definedName name="수중모타25" localSheetId="2">#REF!</definedName>
    <definedName name="수중모타25">#REF!</definedName>
    <definedName name="수중모타3" localSheetId="2">#REF!</definedName>
    <definedName name="수중모타3">#REF!</definedName>
    <definedName name="수중모타30" localSheetId="2">#REF!</definedName>
    <definedName name="수중모타30">#REF!</definedName>
    <definedName name="수중모타5" localSheetId="2">#REF!</definedName>
    <definedName name="수중모타5">#REF!</definedName>
    <definedName name="수중모타7.5" localSheetId="2">#REF!</definedName>
    <definedName name="수중모타7.5">#REF!</definedName>
    <definedName name="수중모터펌프단가" localSheetId="2">#REF!</definedName>
    <definedName name="수중모터펌프단가">#REF!</definedName>
    <definedName name="수중케이블단가" localSheetId="2">#REF!</definedName>
    <definedName name="수중케이블단가">#REF!</definedName>
    <definedName name="순공사비" localSheetId="2">#REF!</definedName>
    <definedName name="순공사비">#REF!</definedName>
    <definedName name="순공사원가" localSheetId="2">#REF!</definedName>
    <definedName name="순공사원가">#REF!</definedName>
    <definedName name="식" localSheetId="2">#REF!</definedName>
    <definedName name="식">#REF!</definedName>
    <definedName name="식단가" localSheetId="2">#REF!</definedName>
    <definedName name="식단가">#REF!</definedName>
    <definedName name="식율" localSheetId="2">#REF!</definedName>
    <definedName name="식율">#REF!</definedName>
    <definedName name="신가교" localSheetId="2">#REF!</definedName>
    <definedName name="신가교">#REF!</definedName>
    <definedName name="신성1" localSheetId="2">#REF!</definedName>
    <definedName name="신성1">#REF!</definedName>
    <definedName name="신성2" localSheetId="2">#REF!</definedName>
    <definedName name="신성2">#REF!</definedName>
    <definedName name="신성3" localSheetId="2">#REF!</definedName>
    <definedName name="신성3">#REF!</definedName>
    <definedName name="신성4" localSheetId="2">#REF!</definedName>
    <definedName name="신성4">#REF!</definedName>
    <definedName name="신성5" localSheetId="2">#REF!</definedName>
    <definedName name="신성5">#REF!</definedName>
    <definedName name="신성6" localSheetId="2">#REF!</definedName>
    <definedName name="신성6">#REF!</definedName>
    <definedName name="신성7" localSheetId="2">#REF!</definedName>
    <definedName name="신성7">#REF!</definedName>
    <definedName name="신흥1호" localSheetId="2">#REF!</definedName>
    <definedName name="신흥1호">#REF!</definedName>
    <definedName name="신흥2호" localSheetId="2">#REF!</definedName>
    <definedName name="신흥2호">#REF!</definedName>
    <definedName name="실경상" localSheetId="2">#REF!</definedName>
    <definedName name="실경상">#REF!</definedName>
    <definedName name="실행" localSheetId="2">#REF!</definedName>
    <definedName name="실행">#REF!</definedName>
    <definedName name="실행구조물공계" localSheetId="2">#REF!</definedName>
    <definedName name="실행구조물공계">#REF!</definedName>
    <definedName name="실행배수공계" localSheetId="2">#REF!</definedName>
    <definedName name="실행배수공계">#REF!</definedName>
    <definedName name="실행부대공계" localSheetId="2">#REF!</definedName>
    <definedName name="실행부대공계">#REF!</definedName>
    <definedName name="실행정기안전" localSheetId="2">#REF!</definedName>
    <definedName name="실행정기안전">#REF!</definedName>
    <definedName name="실행터널공계" localSheetId="2">#REF!</definedName>
    <definedName name="실행터널공계">#REF!</definedName>
    <definedName name="실행토공계" localSheetId="2">#REF!</definedName>
    <definedName name="실행토공계">#REF!</definedName>
    <definedName name="실행포장공계" localSheetId="2">#REF!</definedName>
    <definedName name="실행포장공계">#REF!</definedName>
    <definedName name="십만원" localSheetId="2">#REF!</definedName>
    <definedName name="십만원">#REF!</definedName>
    <definedName name="십만원율" localSheetId="2">#REF!</definedName>
    <definedName name="십만원율">#REF!</definedName>
    <definedName name="십만원이상" localSheetId="2">#REF!</definedName>
    <definedName name="십만원이상">#REF!</definedName>
    <definedName name="십만원이상율" localSheetId="2">#REF!</definedName>
    <definedName name="십만원이상율">#REF!</definedName>
    <definedName name="ㅇ48" localSheetId="2">#REF!</definedName>
    <definedName name="ㅇ48">#REF!</definedName>
    <definedName name="ㅇ560" localSheetId="2">#REF!</definedName>
    <definedName name="ㅇ560">#REF!</definedName>
    <definedName name="ㅇㄹㅇㅁ"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ㅇㄹㅇㅁ"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ㅇㅈㄱㄹㄴㅇㄹ"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ㅇㅈㄱㄹㄴㅇㄹ"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아연도강관단가" localSheetId="2">#REF!</definedName>
    <definedName name="아연도강관단가">#REF!</definedName>
    <definedName name="아연도배관단가" localSheetId="2">#REF!</definedName>
    <definedName name="아연도배관단가">#REF!</definedName>
    <definedName name="아연도배관자재" localSheetId="2">#REF!</definedName>
    <definedName name="아연도배관자재">#REF!</definedName>
    <definedName name="아이디" localSheetId="2">#REF!,#REF!</definedName>
    <definedName name="아이디">#REF!,#REF!</definedName>
    <definedName name="안관" localSheetId="2">#REF!</definedName>
    <definedName name="안관">#REF!</definedName>
    <definedName name="안방1호" localSheetId="2">#REF!</definedName>
    <definedName name="안방1호">#REF!</definedName>
    <definedName name="안방2호" localSheetId="2">#REF!</definedName>
    <definedName name="안방2호">#REF!</definedName>
    <definedName name="안전" localSheetId="2">#REF!</definedName>
    <definedName name="안전">#REF!</definedName>
    <definedName name="안전관리비" localSheetId="2">#REF!</definedName>
    <definedName name="안전관리비">#REF!</definedName>
    <definedName name="안전관리비요율" localSheetId="2">#REF!</definedName>
    <definedName name="안전관리비요율">#REF!</definedName>
    <definedName name="안전관리비율" localSheetId="2">#REF!</definedName>
    <definedName name="안전관리비율">#REF!</definedName>
    <definedName name="안전관리비표" localSheetId="2">#REF!</definedName>
    <definedName name="안전관리비표">#REF!</definedName>
    <definedName name="안정수위" localSheetId="2">#REF!</definedName>
    <definedName name="안정수위">#REF!</definedName>
    <definedName name="앞들1호" localSheetId="2">#REF!</definedName>
    <definedName name="앞들1호">#REF!</definedName>
    <definedName name="앞들2호" localSheetId="2">#REF!</definedName>
    <definedName name="앞들2호">#REF!</definedName>
    <definedName name="약품" localSheetId="2">#REF!</definedName>
    <definedName name="약품">#REF!</definedName>
    <definedName name="양수량" localSheetId="2">#REF!</definedName>
    <definedName name="양수량">#REF!</definedName>
    <definedName name="억이상" localSheetId="2" hidden="1">{#N/A,#N/A,FALSE,"2~8번"}</definedName>
    <definedName name="억이상" hidden="1">{#N/A,#N/A,FALSE,"2~8번"}</definedName>
    <definedName name="업체견적용" localSheetId="15">Dlog_Show</definedName>
    <definedName name="업체견적용" localSheetId="2">Dlog_Show</definedName>
    <definedName name="업체견적용">Dlog_Show</definedName>
    <definedName name="에치원" localSheetId="2">#REF!</definedName>
    <definedName name="에치원">#REF!</definedName>
    <definedName name="영역" localSheetId="2">#REF!</definedName>
    <definedName name="영역">#REF!</definedName>
    <definedName name="예비비수" localSheetId="2">#REF!</definedName>
    <definedName name="예비비수">#REF!</definedName>
    <definedName name="예비비평" localSheetId="2">#REF!</definedName>
    <definedName name="예비비평">#REF!</definedName>
    <definedName name="오만원" localSheetId="2">#REF!</definedName>
    <definedName name="오만원">#REF!</definedName>
    <definedName name="오만원율" localSheetId="2">#REF!</definedName>
    <definedName name="오만원율">#REF!</definedName>
    <definedName name="오주1호" localSheetId="2">#REF!</definedName>
    <definedName name="오주1호">#REF!</definedName>
    <definedName name="오주2호" localSheetId="2">#REF!</definedName>
    <definedName name="오주2호">#REF!</definedName>
    <definedName name="오주3호" localSheetId="2">#REF!</definedName>
    <definedName name="오주3호">#REF!</definedName>
    <definedName name="오주4호" localSheetId="2">#REF!</definedName>
    <definedName name="오주4호">#REF!</definedName>
    <definedName name="오천원" localSheetId="2">#REF!</definedName>
    <definedName name="오천원">#REF!</definedName>
    <definedName name="오천원율" localSheetId="2">#REF!</definedName>
    <definedName name="오천원율">#REF!</definedName>
    <definedName name="옥계1교" localSheetId="2">#REF!</definedName>
    <definedName name="옥계1교">#REF!</definedName>
    <definedName name="외주비구조물공계" localSheetId="2">#REF!</definedName>
    <definedName name="외주비구조물공계">#REF!</definedName>
    <definedName name="외주비배수공계" localSheetId="2">#REF!</definedName>
    <definedName name="외주비배수공계">#REF!</definedName>
    <definedName name="외주비부대공계" localSheetId="2">#REF!</definedName>
    <definedName name="외주비부대공계">#REF!</definedName>
    <definedName name="외주비정기안전" localSheetId="2">#REF!</definedName>
    <definedName name="외주비정기안전">#REF!</definedName>
    <definedName name="외주비터널공계" localSheetId="2">#REF!</definedName>
    <definedName name="외주비터널공계">#REF!</definedName>
    <definedName name="외주비토공계" localSheetId="2">#REF!</definedName>
    <definedName name="외주비토공계">#REF!</definedName>
    <definedName name="외주비포장공계" localSheetId="2">#REF!</definedName>
    <definedName name="외주비포장공계">#REF!</definedName>
    <definedName name="요동1호" localSheetId="2">#REF!</definedName>
    <definedName name="요동1호">#REF!</definedName>
    <definedName name="요동2호" localSheetId="2">#REF!</definedName>
    <definedName name="요동2호">#REF!</definedName>
    <definedName name="용경비금액" localSheetId="2">#REF!</definedName>
    <definedName name="용경비금액">#REF!</definedName>
    <definedName name="용경비단가" localSheetId="2">#REF!</definedName>
    <definedName name="용경비단가">#REF!</definedName>
    <definedName name="용노무비금액" localSheetId="2">#REF!</definedName>
    <definedName name="용노무비금액">#REF!</definedName>
    <definedName name="용노무비단가" localSheetId="2">#REF!</definedName>
    <definedName name="용노무비단가">#REF!</definedName>
    <definedName name="용원수" localSheetId="2">#REF!</definedName>
    <definedName name="용원수">#REF!</definedName>
    <definedName name="용재료비금액" localSheetId="2">#REF!</definedName>
    <definedName name="용재료비금액">#REF!</definedName>
    <definedName name="용재료비단가" localSheetId="2">#REF!</definedName>
    <definedName name="용재료비단가">#REF!</definedName>
    <definedName name="용접" localSheetId="2">#REF!</definedName>
    <definedName name="용접">#REF!</definedName>
    <definedName name="우강공감율" localSheetId="2">#REF!</definedName>
    <definedName name="우강공감율">#REF!</definedName>
    <definedName name="우강기본율" localSheetId="2">#REF!</definedName>
    <definedName name="우강기본율">#REF!</definedName>
    <definedName name="우강사업율" localSheetId="2">#REF!</definedName>
    <definedName name="우강사업율">#REF!</definedName>
    <definedName name="우강세부율" localSheetId="2">#REF!</definedName>
    <definedName name="우강세부율">#REF!</definedName>
    <definedName name="우산" localSheetId="2">#REF!</definedName>
    <definedName name="우산">#REF!</definedName>
    <definedName name="운암" localSheetId="2">#REF!</definedName>
    <definedName name="운암">#REF!</definedName>
    <definedName name="운전" localSheetId="2">#REF!</definedName>
    <definedName name="운전">#REF!</definedName>
    <definedName name="운전사" localSheetId="2">#REF!</definedName>
    <definedName name="운전사">#REF!</definedName>
    <definedName name="운전조" localSheetId="2">#REF!</definedName>
    <definedName name="운전조">#REF!</definedName>
    <definedName name="운호1호" localSheetId="2">#REF!</definedName>
    <definedName name="운호1호">#REF!</definedName>
    <definedName name="운호2호" localSheetId="2">#REF!</definedName>
    <definedName name="운호2호">#REF!</definedName>
    <definedName name="운호3호" localSheetId="2">#REF!</definedName>
    <definedName name="운호3호">#REF!</definedName>
    <definedName name="원가" localSheetId="2">#REF!</definedName>
    <definedName name="원가">#REF!</definedName>
    <definedName name="원가계산">#N/A</definedName>
    <definedName name="원가계산명" localSheetId="2">#REF!</definedName>
    <definedName name="원가계산명">#REF!</definedName>
    <definedName name="원가계산서" localSheetId="2">#REF!</definedName>
    <definedName name="원가계산서">#REF!</definedName>
    <definedName name="원가계산창">#N/A</definedName>
    <definedName name="원가계신" localSheetId="2">#REF!</definedName>
    <definedName name="원가계신">#REF!</definedName>
    <definedName name="원본" localSheetId="2">#REF!</definedName>
    <definedName name="원본">#REF!</definedName>
    <definedName name="원안" localSheetId="2">#REF!</definedName>
    <definedName name="원안">#REF!</definedName>
    <definedName name="원안1" localSheetId="2">#REF!</definedName>
    <definedName name="원안1">#REF!</definedName>
    <definedName name="원안기준" localSheetId="2">#REF!</definedName>
    <definedName name="원안기준">#REF!</definedName>
    <definedName name="원운1호" localSheetId="2">#REF!</definedName>
    <definedName name="원운1호">#REF!</definedName>
    <definedName name="원운2호" localSheetId="2">#REF!</definedName>
    <definedName name="원운2호">#REF!</definedName>
    <definedName name="월계" localSheetId="2">#REF!</definedName>
    <definedName name="월계">#REF!</definedName>
    <definedName name="위치">#N/A</definedName>
    <definedName name="육리1호" localSheetId="2">#REF!</definedName>
    <definedName name="육리1호">#REF!</definedName>
    <definedName name="육리2호" localSheetId="2">#REF!</definedName>
    <definedName name="육리2호">#REF!</definedName>
    <definedName name="윤시기꺼" localSheetId="2">#REF!</definedName>
    <definedName name="윤시기꺼">#REF!</definedName>
    <definedName name="은산1호" localSheetId="2">#REF!</definedName>
    <definedName name="은산1호">#REF!</definedName>
    <definedName name="은산2호" localSheetId="2">#REF!</definedName>
    <definedName name="은산2호">#REF!</definedName>
    <definedName name="은산3호" localSheetId="2">#REF!</definedName>
    <definedName name="은산3호">#REF!</definedName>
    <definedName name="은산4호" localSheetId="2">#REF!</definedName>
    <definedName name="은산4호">#REF!</definedName>
    <definedName name="을지양식" localSheetId="2">#REF!</definedName>
    <definedName name="을지양식">#REF!</definedName>
    <definedName name="의" localSheetId="2" hidden="1">{#N/A,#N/A,FALSE,"운반시간"}</definedName>
    <definedName name="의" hidden="1">{#N/A,#N/A,FALSE,"운반시간"}</definedName>
    <definedName name="이" localSheetId="2" hidden="1">{#N/A,#N/A,FALSE,"운반시간"}</definedName>
    <definedName name="이" hidden="1">{#N/A,#N/A,FALSE,"운반시간"}</definedName>
    <definedName name="이공구가설비" localSheetId="2">#REF!</definedName>
    <definedName name="이공구가설비">#REF!</definedName>
    <definedName name="이공구간접노무비" localSheetId="2">#REF!</definedName>
    <definedName name="이공구간접노무비">#REF!</definedName>
    <definedName name="이공구공사원가" localSheetId="2">#REF!</definedName>
    <definedName name="이공구공사원가">#REF!</definedName>
    <definedName name="이공구기타경비" localSheetId="2">#REF!</definedName>
    <definedName name="이공구기타경비">#REF!</definedName>
    <definedName name="이공구산재보험료" localSheetId="2">#REF!</definedName>
    <definedName name="이공구산재보험료">#REF!</definedName>
    <definedName name="이공구안전관리비" localSheetId="2">#REF!</definedName>
    <definedName name="이공구안전관리비">#REF!</definedName>
    <definedName name="이공구이윤" localSheetId="2">#REF!</definedName>
    <definedName name="이공구이윤">#REF!</definedName>
    <definedName name="이공구일반관리비" localSheetId="2">#REF!</definedName>
    <definedName name="이공구일반관리비">#REF!</definedName>
    <definedName name="이윤" localSheetId="2">#REF!</definedName>
    <definedName name="이윤">#REF!</definedName>
    <definedName name="이윤요율" localSheetId="2">#REF!</definedName>
    <definedName name="이윤요율">#REF!</definedName>
    <definedName name="이윤표" localSheetId="2">#REF!</definedName>
    <definedName name="이윤표">#REF!</definedName>
    <definedName name="인쇄양식">#N/A</definedName>
    <definedName name="인원" localSheetId="2">#REF!</definedName>
    <definedName name="인원">#REF!</definedName>
    <definedName name="인원우넌" localSheetId="2">#REF!</definedName>
    <definedName name="인원우넌">#REF!</definedName>
    <definedName name="인입공사비" localSheetId="2">#REF!</definedName>
    <definedName name="인입공사비">#REF!</definedName>
    <definedName name="일.화장실및관리실" localSheetId="2">#REF!</definedName>
    <definedName name="일.화장실및관리실">#REF!</definedName>
    <definedName name="일공구직영비" localSheetId="2">#REF!</definedName>
    <definedName name="일공구직영비">#REF!</definedName>
    <definedName name="일반관리비" localSheetId="2">#REF!</definedName>
    <definedName name="일반관리비">#REF!</definedName>
    <definedName name="일반관리비요율" localSheetId="2">#REF!</definedName>
    <definedName name="일반관리비요율">#REF!</definedName>
    <definedName name="일반관리비율" localSheetId="2">#REF!</definedName>
    <definedName name="일반관리비율">#REF!</definedName>
    <definedName name="일반관리비표" localSheetId="2">#REF!</definedName>
    <definedName name="일반관리비표">#REF!</definedName>
    <definedName name="일식" localSheetId="2">#REF!</definedName>
    <definedName name="일식">#REF!</definedName>
    <definedName name="일위" localSheetId="2">#REF!,#REF!</definedName>
    <definedName name="일위">#REF!,#REF!</definedName>
    <definedName name="임직" localSheetId="2">#REF!</definedName>
    <definedName name="임직">#REF!</definedName>
    <definedName name="입력란" localSheetId="2">#REF!</definedName>
    <definedName name="입력란">#REF!</definedName>
    <definedName name="입력선택" localSheetId="2">#REF!</definedName>
    <definedName name="입력선택">#REF!</definedName>
    <definedName name="입력전체" localSheetId="2">#REF!</definedName>
    <definedName name="입력전체">#REF!</definedName>
    <definedName name="입안1호" localSheetId="2">#REF!</definedName>
    <definedName name="입안1호">#REF!</definedName>
    <definedName name="입안2호" localSheetId="2">#REF!</definedName>
    <definedName name="입안2호">#REF!</definedName>
    <definedName name="입안3호" localSheetId="2">#REF!</definedName>
    <definedName name="입안3호">#REF!</definedName>
    <definedName name="입안4호" localSheetId="2">#REF!</definedName>
    <definedName name="입안4호">#REF!</definedName>
    <definedName name="입안기존2" localSheetId="2">#REF!</definedName>
    <definedName name="입안기존2">#REF!</definedName>
    <definedName name="ㅈ" localSheetId="2" hidden="1">{#N/A,#N/A,FALSE,"전력간선"}</definedName>
    <definedName name="ㅈ" hidden="1">{#N/A,#N/A,FALSE,"전력간선"}</definedName>
    <definedName name="ㅈ238" localSheetId="2">#REF!</definedName>
    <definedName name="ㅈ238">#REF!</definedName>
    <definedName name="ㅈㅇㄻㄴㅇㄹ">#N/A</definedName>
    <definedName name="ㅈㅈ" localSheetId="2">#REF!</definedName>
    <definedName name="ㅈㅈ">#REF!</definedName>
    <definedName name="ㅈㅈㅈ" localSheetId="2">#REF!</definedName>
    <definedName name="ㅈㅈㅈ">#REF!</definedName>
    <definedName name="자경비금액" localSheetId="2">#REF!</definedName>
    <definedName name="자경비금액">#REF!</definedName>
    <definedName name="자경비단가" localSheetId="2">#REF!</definedName>
    <definedName name="자경비단가">#REF!</definedName>
    <definedName name="자노무비금액" localSheetId="2">#REF!</definedName>
    <definedName name="자노무비금액">#REF!</definedName>
    <definedName name="자노무비단가" localSheetId="2">#REF!</definedName>
    <definedName name="자노무비단가">#REF!</definedName>
    <definedName name="자십만원율" localSheetId="2">#REF!</definedName>
    <definedName name="자십만원율">#REF!</definedName>
    <definedName name="자십만원이상" localSheetId="2">#REF!</definedName>
    <definedName name="자십만원이상">#REF!</definedName>
    <definedName name="자십만원잇아" localSheetId="2">#REF!</definedName>
    <definedName name="자십만원잇아">#REF!</definedName>
    <definedName name="자연수위" localSheetId="2">#REF!</definedName>
    <definedName name="자연수위">#REF!</definedName>
    <definedName name="자오만원율" localSheetId="2">#REF!</definedName>
    <definedName name="자오만원율">#REF!</definedName>
    <definedName name="자오천원율" localSheetId="2">#REF!</definedName>
    <definedName name="자오천원율">#REF!</definedName>
    <definedName name="자원수" localSheetId="2">#REF!</definedName>
    <definedName name="자원수">#REF!</definedName>
    <definedName name="자재" localSheetId="2">#REF!</definedName>
    <definedName name="자재">#REF!</definedName>
    <definedName name="자재료비금액" localSheetId="2">#REF!</definedName>
    <definedName name="자재료비금액">#REF!</definedName>
    <definedName name="자재료비단가" localSheetId="2">#REF!</definedName>
    <definedName name="자재료비단가">#REF!</definedName>
    <definedName name="자재비" localSheetId="2">#REF!</definedName>
    <definedName name="자재비">#REF!</definedName>
    <definedName name="자재비율" localSheetId="2">#REF!</definedName>
    <definedName name="자재비율">#REF!</definedName>
    <definedName name="자재수" localSheetId="2">#REF!</definedName>
    <definedName name="자재수">#REF!</definedName>
    <definedName name="자재평" localSheetId="2">#REF!</definedName>
    <definedName name="자재평">#REF!</definedName>
    <definedName name="작업" localSheetId="2">#REF!</definedName>
    <definedName name="작업">#REF!</definedName>
    <definedName name="잡비" localSheetId="2">#REF!</definedName>
    <definedName name="잡비">#REF!</definedName>
    <definedName name="잡지출수" localSheetId="2">#REF!</definedName>
    <definedName name="잡지출수">#REF!</definedName>
    <definedName name="잡지출평" localSheetId="2">#REF!</definedName>
    <definedName name="잡지출평">#REF!</definedName>
    <definedName name="장산1" localSheetId="2">#REF!</definedName>
    <definedName name="장산1">#REF!</definedName>
    <definedName name="장산2" localSheetId="2">#REF!</definedName>
    <definedName name="장산2">#REF!</definedName>
    <definedName name="장산3" localSheetId="2">#REF!</definedName>
    <definedName name="장산3">#REF!</definedName>
    <definedName name="장산교" localSheetId="2">#REF!</definedName>
    <definedName name="장산교">#REF!</definedName>
    <definedName name="장춘" localSheetId="2">#REF!</definedName>
    <definedName name="장춘">#REF!</definedName>
    <definedName name="재" localSheetId="2">#REF!</definedName>
    <definedName name="재">#REF!</definedName>
    <definedName name="재료비" localSheetId="2">#REF!</definedName>
    <definedName name="재료비">#REF!</definedName>
    <definedName name="재료비구조물공계" localSheetId="2">#REF!</definedName>
    <definedName name="재료비구조물공계">#REF!</definedName>
    <definedName name="재료비배수공계" localSheetId="2">#REF!</definedName>
    <definedName name="재료비배수공계">#REF!</definedName>
    <definedName name="재료비부대공계" localSheetId="2">#REF!</definedName>
    <definedName name="재료비부대공계">#REF!</definedName>
    <definedName name="재료비요율" localSheetId="2">#REF!</definedName>
    <definedName name="재료비요율">#REF!</definedName>
    <definedName name="재료비정기안전" localSheetId="2">#REF!</definedName>
    <definedName name="재료비정기안전">#REF!</definedName>
    <definedName name="재료비터널공" localSheetId="2">#REF!</definedName>
    <definedName name="재료비터널공">#REF!</definedName>
    <definedName name="재료비터널공계" localSheetId="2">#REF!</definedName>
    <definedName name="재료비터널공계">#REF!</definedName>
    <definedName name="재료비토공계" localSheetId="2">#REF!</definedName>
    <definedName name="재료비토공계">#REF!</definedName>
    <definedName name="재료비포장공계" localSheetId="2">#REF!</definedName>
    <definedName name="재료비포장공계">#REF!</definedName>
    <definedName name="재료집계3" localSheetId="2">#REF!</definedName>
    <definedName name="재료집계3">#REF!</definedName>
    <definedName name="저격2" localSheetId="2">#REF!</definedName>
    <definedName name="저격2">#REF!</definedName>
    <definedName name="저수조만수위" localSheetId="2">#REF!</definedName>
    <definedName name="저수조만수위">#REF!</definedName>
    <definedName name="저케" localSheetId="2">#REF!</definedName>
    <definedName name="저케">#REF!</definedName>
    <definedName name="적격종건" localSheetId="2">#REF!</definedName>
    <definedName name="적격종건">#REF!</definedName>
    <definedName name="전간노" localSheetId="2">#REF!</definedName>
    <definedName name="전간노">#REF!</definedName>
    <definedName name="전동기용량" localSheetId="2">#REF!</definedName>
    <definedName name="전동기용량">#REF!</definedName>
    <definedName name="전재료" localSheetId="2">#REF!</definedName>
    <definedName name="전재료">#REF!</definedName>
    <definedName name="전체" localSheetId="2">#REF!</definedName>
    <definedName name="전체">#REF!</definedName>
    <definedName name="접속슬래브" localSheetId="2">#REF!</definedName>
    <definedName name="접속슬래브">#REF!</definedName>
    <definedName name="정경비금액" localSheetId="2">#REF!</definedName>
    <definedName name="정경비금액">#REF!</definedName>
    <definedName name="정경비단가" localSheetId="2">#REF!</definedName>
    <definedName name="정경비단가">#REF!</definedName>
    <definedName name="정노무비금액" localSheetId="2">#REF!</definedName>
    <definedName name="정노무비금액">#REF!</definedName>
    <definedName name="정노무비단가" localSheetId="2">#REF!</definedName>
    <definedName name="정노무비단가">#REF!</definedName>
    <definedName name="정원수" localSheetId="2">#REF!</definedName>
    <definedName name="정원수">#REF!</definedName>
    <definedName name="정재료비금액" localSheetId="2">#REF!</definedName>
    <definedName name="정재료비금액">#REF!</definedName>
    <definedName name="정재료비단가" localSheetId="2">#REF!</definedName>
    <definedName name="정재료비단가">#REF!</definedName>
    <definedName name="제잡비" localSheetId="2">#REF!</definedName>
    <definedName name="제잡비">#REF!</definedName>
    <definedName name="조장" localSheetId="2">#REF!</definedName>
    <definedName name="조장">#REF!</definedName>
    <definedName name="조직"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조직"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조직표" localSheetId="2">#REF!</definedName>
    <definedName name="조직표">#REF!</definedName>
    <definedName name="종" localSheetId="2">#REF!</definedName>
    <definedName name="종">#REF!</definedName>
    <definedName name="주요공사물량" localSheetId="2" hidden="1">{#N/A,#N/A,FALSE,"조골재"}</definedName>
    <definedName name="주요공사물량" hidden="1">{#N/A,#N/A,FALSE,"조골재"}</definedName>
    <definedName name="준공완성예측" localSheetId="2">#REF!</definedName>
    <definedName name="준공완성예측">#REF!</definedName>
    <definedName name="중량" localSheetId="2">#REF!</definedName>
    <definedName name="중량">#REF!</definedName>
    <definedName name="중량표" localSheetId="2">#REF!</definedName>
    <definedName name="중량표">#REF!</definedName>
    <definedName name="중흥부두2" localSheetId="2">#REF!</definedName>
    <definedName name="중흥부두2">#REF!</definedName>
    <definedName name="지급" localSheetId="2">#REF!,#REF!,#REF!</definedName>
    <definedName name="지급">#REF!,#REF!,#REF!</definedName>
    <definedName name="지급부가제외" localSheetId="2">#REF!</definedName>
    <definedName name="지급부가제외">#REF!</definedName>
    <definedName name="지급부가포함" localSheetId="2">#REF!</definedName>
    <definedName name="지급부가포함">#REF!</definedName>
    <definedName name="지동" localSheetId="2">#REF!</definedName>
    <definedName name="지동">#REF!</definedName>
    <definedName name="지부외배" localSheetId="2">#REF!</definedName>
    <definedName name="지부외배">#REF!</definedName>
    <definedName name="지부외평" localSheetId="2">#REF!</definedName>
    <definedName name="지부외평">#REF!</definedName>
    <definedName name="지부포배" localSheetId="2">#REF!</definedName>
    <definedName name="지부포배">#REF!</definedName>
    <definedName name="지부포수" localSheetId="2">#REF!</definedName>
    <definedName name="지부포수">#REF!</definedName>
    <definedName name="지부포평" localSheetId="2">#REF!</definedName>
    <definedName name="지부포평">#REF!</definedName>
    <definedName name="지역">#N/A</definedName>
    <definedName name="직영비" localSheetId="2">#REF!</definedName>
    <definedName name="직영비">#REF!</definedName>
    <definedName name="직접경비" localSheetId="2">#REF!</definedName>
    <definedName name="직접경비">#REF!</definedName>
    <definedName name="직접노무비" localSheetId="2">#REF!</definedName>
    <definedName name="직접노무비">#REF!</definedName>
    <definedName name="직접노무비요율" localSheetId="2">#REF!</definedName>
    <definedName name="직접노무비요율">#REF!</definedName>
    <definedName name="직접재료비" localSheetId="2">#REF!</definedName>
    <definedName name="직접재료비">#REF!</definedName>
    <definedName name="직접재료비합" localSheetId="2">#REF!</definedName>
    <definedName name="직접재료비합">#REF!</definedName>
    <definedName name="직종" localSheetId="2">#REF!</definedName>
    <definedName name="직종">#REF!</definedName>
    <definedName name="진석" localSheetId="2">#REF!,#REF!</definedName>
    <definedName name="진석">#REF!,#REF!</definedName>
    <definedName name="진행요약"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진행요약"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 localSheetId="2">#REF!</definedName>
    <definedName name="집계">#REF!</definedName>
    <definedName name="차막이고" localSheetId="2">#REF!</definedName>
    <definedName name="차막이고">#REF!</definedName>
    <definedName name="착공월" localSheetId="2">#REF!</definedName>
    <definedName name="착공월">#REF!</definedName>
    <definedName name="착정심도" localSheetId="2">#REF!</definedName>
    <definedName name="착정심도">#REF!</definedName>
    <definedName name="철근" localSheetId="2">#REF!</definedName>
    <definedName name="철근">#REF!</definedName>
    <definedName name="철근간단인건비" localSheetId="2">#REF!</definedName>
    <definedName name="철근간단인건비">#REF!</definedName>
    <definedName name="철근간단자재비" localSheetId="2">#REF!</definedName>
    <definedName name="철근간단자재비">#REF!</definedName>
    <definedName name="철목1호" localSheetId="2">#REF!</definedName>
    <definedName name="철목1호">#REF!</definedName>
    <definedName name="철목2호" localSheetId="2">#REF!</definedName>
    <definedName name="철목2호">#REF!</definedName>
    <definedName name="철목3호" localSheetId="2">#REF!</definedName>
    <definedName name="철목3호">#REF!</definedName>
    <definedName name="철목4호" localSheetId="2">#REF!</definedName>
    <definedName name="철목4호">#REF!</definedName>
    <definedName name="철십만원율" localSheetId="2">#REF!</definedName>
    <definedName name="철십만원율">#REF!</definedName>
    <definedName name="철십만원이상" localSheetId="2">#REF!</definedName>
    <definedName name="철십만원이상">#REF!</definedName>
    <definedName name="철십만원이상율" localSheetId="2">#REF!</definedName>
    <definedName name="철십만원이상율">#REF!</definedName>
    <definedName name="철오만원율" localSheetId="2">#REF!</definedName>
    <definedName name="철오만원율">#REF!</definedName>
    <definedName name="철오천원율" localSheetId="2">#REF!</definedName>
    <definedName name="철오천원율">#REF!</definedName>
    <definedName name="철콘" localSheetId="2">#REF!</definedName>
    <definedName name="철콘">#REF!</definedName>
    <definedName name="철콘인건비" localSheetId="2">#REF!</definedName>
    <definedName name="철콘인건비">#REF!</definedName>
    <definedName name="청림1호" localSheetId="2">#REF!</definedName>
    <definedName name="청림1호">#REF!</definedName>
    <definedName name="청림2호" localSheetId="2">#REF!</definedName>
    <definedName name="청림2호">#REF!</definedName>
    <definedName name="청림3호" localSheetId="2">#REF!</definedName>
    <definedName name="청림3호">#REF!</definedName>
    <definedName name="총계" localSheetId="2">#REF!</definedName>
    <definedName name="총계">#REF!</definedName>
    <definedName name="총공" localSheetId="2" hidden="1">{#N/A,#N/A,FALSE,"운반시간"}</definedName>
    <definedName name="총공" hidden="1">{#N/A,#N/A,FALSE,"운반시간"}</definedName>
    <definedName name="총공사비" localSheetId="2">#REF!</definedName>
    <definedName name="총공사비">#REF!</definedName>
    <definedName name="총원가" localSheetId="2">#REF!</definedName>
    <definedName name="총원가">#REF!</definedName>
    <definedName name="총원가2" localSheetId="2">#REF!</definedName>
    <definedName name="총원가2">#REF!</definedName>
    <definedName name="최종조정" localSheetId="2">#REF!</definedName>
    <definedName name="최종조정">#REF!</definedName>
    <definedName name="충일" localSheetId="2">#REF!</definedName>
    <definedName name="충일">#REF!</definedName>
    <definedName name="충일거래명세서" localSheetId="2">#REF!</definedName>
    <definedName name="충일거래명세서">#REF!</definedName>
    <definedName name="측량" localSheetId="2">#REF!</definedName>
    <definedName name="측량">#REF!</definedName>
    <definedName name="측설비수" localSheetId="2">#REF!</definedName>
    <definedName name="측설비수">#REF!</definedName>
    <definedName name="측설비평" localSheetId="2">#REF!</definedName>
    <definedName name="측설비평">#REF!</definedName>
    <definedName name="칠" localSheetId="2">#REF!</definedName>
    <definedName name="칠">#REF!</definedName>
    <definedName name="콘크" localSheetId="2">#REF!</definedName>
    <definedName name="콘크">#REF!</definedName>
    <definedName name="타이틀" localSheetId="2">#REF!</definedName>
    <definedName name="타이틀">#REF!</definedName>
    <definedName name="탄성10다" localSheetId="2">#REF!</definedName>
    <definedName name="탄성10다">#REF!</definedName>
    <definedName name="탄성8다" localSheetId="2">#REF!</definedName>
    <definedName name="탄성8다">#REF!</definedName>
    <definedName name="탐진" localSheetId="2">#REF!</definedName>
    <definedName name="탐진">#REF!</definedName>
    <definedName name="터널공" localSheetId="2">#REF!</definedName>
    <definedName name="터널공">#REF!</definedName>
    <definedName name="터널공계" localSheetId="2">#REF!</definedName>
    <definedName name="터널공계">#REF!</definedName>
    <definedName name="템플리트모듈1" localSheetId="15">[9]!sheetbutton</definedName>
    <definedName name="템플리트모듈1">[9]!sheetbutton</definedName>
    <definedName name="템플리트모듈2" localSheetId="15">[9]!sheetbutton1</definedName>
    <definedName name="템플리트모듈2">[9]!sheetbutton1</definedName>
    <definedName name="템플리트모듈3" localSheetId="15">[9]!SignDLG</definedName>
    <definedName name="템플리트모듈3">[9]!SignDLG</definedName>
    <definedName name="템플리트모듈4" localSheetId="15">[9]!insertLt</definedName>
    <definedName name="템플리트모듈4">[9]!insertLt</definedName>
    <definedName name="템플리트모듈5" localSheetId="15">[9]!InsertLogo</definedName>
    <definedName name="템플리트모듈5">[9]!InsertLogo</definedName>
    <definedName name="템플리트모듈6" localSheetId="15">Dlog_Show</definedName>
    <definedName name="템플리트모듈6" localSheetId="2">Dlog_Show</definedName>
    <definedName name="템플리트모듈6">Dlog_Show</definedName>
    <definedName name="토공" localSheetId="2">#REF!</definedName>
    <definedName name="토공">#REF!</definedName>
    <definedName name="토공계" localSheetId="2">#REF!</definedName>
    <definedName name="토공계">#REF!</definedName>
    <definedName name="토목내역" localSheetId="2">#REF!</definedName>
    <definedName name="토목내역">#REF!</definedName>
    <definedName name="토목설계" localSheetId="2" hidden="1">{#N/A,#N/A,FALSE,"골재소요량";#N/A,#N/A,FALSE,"골재소요량"}</definedName>
    <definedName name="토목설계" hidden="1">{#N/A,#N/A,FALSE,"골재소요량";#N/A,#N/A,FALSE,"골재소요량"}</definedName>
    <definedName name="토목집계" localSheetId="2">#REF!</definedName>
    <definedName name="토목집계">#REF!</definedName>
    <definedName name="토십만원율" localSheetId="2">#REF!</definedName>
    <definedName name="토십만원율">#REF!</definedName>
    <definedName name="토십만원이상" localSheetId="2">#REF!</definedName>
    <definedName name="토십만원이상">#REF!</definedName>
    <definedName name="토십만원이상율" localSheetId="2">#REF!</definedName>
    <definedName name="토십만원이상율">#REF!</definedName>
    <definedName name="토오만원율" localSheetId="2">#REF!</definedName>
    <definedName name="토오만원율">#REF!</definedName>
    <definedName name="토오천원율" localSheetId="2">#REF!</definedName>
    <definedName name="토오천원율">#REF!</definedName>
    <definedName name="토총" localSheetId="2">#REF!</definedName>
    <definedName name="토총">#REF!</definedName>
    <definedName name="토현1가도교" localSheetId="2">#REF!</definedName>
    <definedName name="토현1가도교">#REF!</definedName>
    <definedName name="토현2가도교" localSheetId="2">#REF!</definedName>
    <definedName name="토현2가도교">#REF!</definedName>
    <definedName name="통내" localSheetId="2">#REF!</definedName>
    <definedName name="통내">#REF!</definedName>
    <definedName name="통설" localSheetId="2">#REF!</definedName>
    <definedName name="통설">#REF!</definedName>
    <definedName name="통일로" localSheetId="2">#REF!</definedName>
    <definedName name="통일로">#REF!</definedName>
    <definedName name="특고" localSheetId="2">#REF!</definedName>
    <definedName name="특고">#REF!</definedName>
    <definedName name="특별" localSheetId="2">#REF!</definedName>
    <definedName name="특별">#REF!</definedName>
    <definedName name="파일길이" localSheetId="2">#REF!</definedName>
    <definedName name="파일길이">#REF!</definedName>
    <definedName name="펌프구경" localSheetId="2">#REF!</definedName>
    <definedName name="펌프구경">#REF!</definedName>
    <definedName name="평리1" localSheetId="2">#REF!</definedName>
    <definedName name="평리1">#REF!</definedName>
    <definedName name="평야부자재" localSheetId="2">#REF!</definedName>
    <definedName name="평야부자재">#REF!</definedName>
    <definedName name="평자재단가" localSheetId="2">#REF!</definedName>
    <definedName name="평자재단가">#REF!</definedName>
    <definedName name="평자재단위당" localSheetId="2">#REF!</definedName>
    <definedName name="평자재단위당">#REF!</definedName>
    <definedName name="평장" localSheetId="2">#REF!</definedName>
    <definedName name="평장">#REF!</definedName>
    <definedName name="평화" localSheetId="2">#REF!</definedName>
    <definedName name="평화">#REF!</definedName>
    <definedName name="평화2" localSheetId="2">#REF!</definedName>
    <definedName name="평화2">#REF!</definedName>
    <definedName name="포장" localSheetId="2">#REF!</definedName>
    <definedName name="포장">#REF!</definedName>
    <definedName name="포장공" localSheetId="2">#REF!</definedName>
    <definedName name="포장공">#REF!</definedName>
    <definedName name="포장공계" localSheetId="2">#REF!</definedName>
    <definedName name="포장공계">#REF!</definedName>
    <definedName name="포장공수량명세서">#N/A</definedName>
    <definedName name="표지" localSheetId="2">#REF!</definedName>
    <definedName name="표지">#REF!</definedName>
    <definedName name="ㅎ384" localSheetId="2">#REF!</definedName>
    <definedName name="ㅎ384">#REF!</definedName>
    <definedName name="하도급" localSheetId="2">#REF!</definedName>
    <definedName name="하도급">#REF!</definedName>
    <definedName name="하도급1" localSheetId="2">#REF!</definedName>
    <definedName name="하도급1">#REF!</definedName>
    <definedName name="하도급2" localSheetId="2">#REF!</definedName>
    <definedName name="하도급2">#REF!</definedName>
    <definedName name="하도급3" localSheetId="2">#REF!</definedName>
    <definedName name="하도급3">#REF!</definedName>
    <definedName name="하도급4" localSheetId="2">#REF!</definedName>
    <definedName name="하도급4">#REF!</definedName>
    <definedName name="하도급5" localSheetId="2">#REF!</definedName>
    <definedName name="하도급5">#REF!</definedName>
    <definedName name="하도급6" localSheetId="2">#REF!</definedName>
    <definedName name="하도급6">#REF!</definedName>
    <definedName name="하도급계획서" localSheetId="2">#REF!</definedName>
    <definedName name="하도급계획서">#REF!</definedName>
    <definedName name="하도급ㄴ역" localSheetId="2">#REF!</definedName>
    <definedName name="하도급ㄴ역">#REF!</definedName>
    <definedName name="하도급내역" localSheetId="2">#REF!</definedName>
    <definedName name="하도급내역">#REF!</definedName>
    <definedName name="하도급원가1" localSheetId="2">#REF!</definedName>
    <definedName name="하도급원가1">#REF!</definedName>
    <definedName name="하도급원가2" localSheetId="2">#REF!</definedName>
    <definedName name="하도급원가2">#REF!</definedName>
    <definedName name="하도사항" localSheetId="2">#REF!</definedName>
    <definedName name="하도사항">#REF!</definedName>
    <definedName name="한교1호" localSheetId="2">#REF!</definedName>
    <definedName name="한교1호">#REF!</definedName>
    <definedName name="한교2호" localSheetId="2">#REF!</definedName>
    <definedName name="한교2호">#REF!</definedName>
    <definedName name="한교3호" localSheetId="2">#REF!</definedName>
    <definedName name="한교3호">#REF!</definedName>
    <definedName name="한전수탁비" localSheetId="2">#REF!</definedName>
    <definedName name="한전수탁비">#REF!</definedName>
    <definedName name="한천교" localSheetId="2">#REF!</definedName>
    <definedName name="한천교">#REF!</definedName>
    <definedName name="합계" localSheetId="2">#REF!</definedName>
    <definedName name="합계">#REF!</definedName>
    <definedName name="합판4회인건비" localSheetId="2">#REF!</definedName>
    <definedName name="합판4회인건비">#REF!</definedName>
    <definedName name="합판4회자재비" localSheetId="2">#REF!</definedName>
    <definedName name="합판4회자재비">#REF!</definedName>
    <definedName name="행삭제" localSheetId="2">#REF!</definedName>
    <definedName name="행삭제">#REF!</definedName>
    <definedName name="헤베" localSheetId="2">#REF!</definedName>
    <definedName name="헤베">#REF!</definedName>
    <definedName name="형틀" localSheetId="2">#REF!</definedName>
    <definedName name="형틀">#REF!</definedName>
    <definedName name="혼합골재2" localSheetId="2" hidden="1">{#N/A,#N/A,FALSE,"혼합골재"}</definedName>
    <definedName name="혼합골재2" hidden="1">{#N/A,#N/A,FALSE,"혼합골재"}</definedName>
    <definedName name="홍" localSheetId="2">#REF!</definedName>
    <definedName name="홍">#REF!</definedName>
    <definedName name="화신1호" localSheetId="2">#REF!</definedName>
    <definedName name="화신1호">#REF!</definedName>
    <definedName name="화신2호" localSheetId="2">#REF!</definedName>
    <definedName name="화신2호">#REF!</definedName>
    <definedName name="화신기존1" localSheetId="2">#REF!</definedName>
    <definedName name="화신기존1">#REF!</definedName>
    <definedName name="화신기존2" localSheetId="2">#REF!</definedName>
    <definedName name="화신기존2">#REF!</definedName>
    <definedName name="회사명" localSheetId="2">#REF!</definedName>
    <definedName name="회사명">#REF!</definedName>
    <definedName name="회시1호" localSheetId="2">#REF!</definedName>
    <definedName name="회시1호">#REF!</definedName>
    <definedName name="회시2호" localSheetId="2">#REF!</definedName>
    <definedName name="회시2호">#REF!</definedName>
    <definedName name="횡" localSheetId="2">#REF!</definedName>
    <definedName name="횡">#REF!</definedName>
    <definedName name="효구" localSheetId="15">Dlog_Show</definedName>
    <definedName name="효구" localSheetId="2">Dlog_Show</definedName>
    <definedName name="효구">Dlog_Show</definedName>
    <definedName name="효자" localSheetId="15">Dlog_Show</definedName>
    <definedName name="효자" localSheetId="2">Dlog_Show</definedName>
    <definedName name="효자">Dlog_Show</definedName>
    <definedName name="효자건설" localSheetId="15">Dlog_Show</definedName>
    <definedName name="효자건설" localSheetId="2">Dlog_Show</definedName>
    <definedName name="효자건설">Dlog_Show</definedName>
    <definedName name="ㅏ140" localSheetId="2">#REF!</definedName>
    <definedName name="ㅏ140">#REF!</definedName>
    <definedName name="ㅏK32" localSheetId="2">#REF!</definedName>
    <definedName name="ㅏK32">#REF!</definedName>
    <definedName name="ㅓ1514" localSheetId="2">#REF!</definedName>
    <definedName name="ㅓ1514">#REF!</definedName>
    <definedName name="ㅓㅐㅇㅁ너ㅏㅣ" localSheetId="2">#REF!</definedName>
    <definedName name="ㅓㅐㅇㅁ너ㅏㅣ">#REF!</definedName>
    <definedName name="ㅓㅓㅓ" localSheetId="2" hidden="1">{#N/A,#N/A,FALSE,"운반시간"}</definedName>
    <definedName name="ㅓㅓㅓ" hidden="1">{#N/A,#N/A,FALSE,"운반시간"}</definedName>
    <definedName name="ㅓㅓㅓㅓ" localSheetId="2" hidden="1">{#N/A,#N/A,FALSE,"조골재"}</definedName>
    <definedName name="ㅓㅓㅓㅓ" hidden="1">{#N/A,#N/A,FALSE,"조골재"}</definedName>
    <definedName name="ㅗ" localSheetId="2">#REF!</definedName>
    <definedName name="ㅗ">#REF!</definedName>
    <definedName name="ㅗ1" localSheetId="2">#REF!</definedName>
    <definedName name="ㅗ1">#REF!</definedName>
    <definedName name="ㅗ2" localSheetId="2">#REF!</definedName>
    <definedName name="ㅗ2">#REF!</definedName>
    <definedName name="ㅗ3" localSheetId="2">#REF!</definedName>
    <definedName name="ㅗ3">#REF!</definedName>
    <definedName name="ㅗ4" localSheetId="2">#REF!</definedName>
    <definedName name="ㅗ4">#REF!</definedName>
    <definedName name="ㅗ5" localSheetId="2">#REF!</definedName>
    <definedName name="ㅗ5">#REF!</definedName>
    <definedName name="ㅗㅗ" localSheetId="2" hidden="1">{#N/A,#N/A,FALSE,"단가표지"}</definedName>
    <definedName name="ㅗㅗ" hidden="1">{#N/A,#N/A,FALSE,"단가표지"}</definedName>
    <definedName name="ㅠ1" localSheetId="2">#REF!</definedName>
    <definedName name="ㅠ1">#REF!</definedName>
    <definedName name="ㅠ10" localSheetId="2">#REF!</definedName>
    <definedName name="ㅠ10">#REF!</definedName>
    <definedName name="ㅠ11" localSheetId="2">#REF!</definedName>
    <definedName name="ㅠ11">#REF!</definedName>
    <definedName name="ㅠ2" localSheetId="2">#REF!</definedName>
    <definedName name="ㅠ2">#REF!</definedName>
    <definedName name="ㅠ3" localSheetId="2">#REF!</definedName>
    <definedName name="ㅠ3">#REF!</definedName>
    <definedName name="ㅠ4" localSheetId="2">#REF!</definedName>
    <definedName name="ㅠ4">#REF!</definedName>
    <definedName name="ㅠ5" localSheetId="2">#REF!</definedName>
    <definedName name="ㅠ5">#REF!</definedName>
    <definedName name="ㅠ6" localSheetId="2">#REF!</definedName>
    <definedName name="ㅠ6">#REF!</definedName>
    <definedName name="ㅠ7" localSheetId="2">#REF!</definedName>
    <definedName name="ㅠ7">#REF!</definedName>
    <definedName name="ㅠ8" localSheetId="2">#REF!</definedName>
    <definedName name="ㅠ8">#REF!</definedName>
    <definedName name="ㅠ9" localSheetId="2">#REF!</definedName>
    <definedName name="ㅠ9">#REF!</definedName>
    <definedName name="ㅠㅠ" localSheetId="2" hidden="1">{#N/A,#N/A,FALSE,"포장2"}</definedName>
    <definedName name="ㅠㅠ" hidden="1">{#N/A,#N/A,FALSE,"포장2"}</definedName>
    <definedName name="ㅣㅏ" localSheetId="2" hidden="1">{#N/A,#N/A,FALSE,"2~8번"}</definedName>
    <definedName name="ㅣㅏ" hidden="1">{#N/A,#N/A,FALSE,"2~8번"}</definedName>
  </definedNames>
  <calcPr calcId="191028"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7" i="16" l="1"/>
  <c r="G121" i="16"/>
  <c r="G123" i="16"/>
  <c r="G124" i="16"/>
  <c r="G125" i="16"/>
  <c r="G126" i="16"/>
  <c r="G127" i="16"/>
  <c r="G128" i="16"/>
  <c r="G129" i="16"/>
  <c r="G130" i="16"/>
  <c r="G131" i="16"/>
  <c r="G132" i="16"/>
  <c r="G133" i="16"/>
  <c r="G134" i="16"/>
  <c r="G155" i="16"/>
  <c r="G157" i="16"/>
  <c r="G158" i="16"/>
  <c r="G160" i="16"/>
  <c r="G161" i="16"/>
  <c r="G162" i="16"/>
  <c r="G164" i="16"/>
  <c r="G165" i="16"/>
  <c r="G166" i="16"/>
  <c r="G167" i="16"/>
  <c r="G168" i="16"/>
  <c r="G173" i="16"/>
  <c r="G195" i="16"/>
  <c r="G198" i="16"/>
  <c r="G199" i="16"/>
  <c r="G201" i="16"/>
  <c r="G202" i="16"/>
  <c r="G204" i="16"/>
  <c r="G205" i="16"/>
  <c r="G207" i="16"/>
  <c r="G208" i="16"/>
  <c r="G209" i="16"/>
  <c r="G210" i="16"/>
  <c r="G211" i="16"/>
  <c r="G212" i="16"/>
  <c r="G213" i="16"/>
  <c r="G214" i="16"/>
  <c r="G408" i="16"/>
  <c r="G407" i="16"/>
  <c r="G406" i="16"/>
  <c r="G405" i="16"/>
  <c r="G404" i="16"/>
  <c r="G403" i="16"/>
  <c r="G402" i="16"/>
  <c r="G401" i="16"/>
  <c r="G400" i="16"/>
  <c r="G399" i="16"/>
  <c r="G397" i="16"/>
  <c r="G395" i="16"/>
  <c r="G371" i="16"/>
  <c r="G370" i="16"/>
  <c r="G368" i="16"/>
  <c r="G367" i="16"/>
  <c r="G365" i="16"/>
  <c r="G364" i="16"/>
  <c r="G362" i="16"/>
  <c r="G361" i="16"/>
  <c r="G359" i="16"/>
  <c r="G357" i="16"/>
  <c r="G356" i="16"/>
  <c r="G330" i="16"/>
  <c r="G329" i="16"/>
  <c r="G328" i="16"/>
  <c r="G327" i="16"/>
  <c r="G326" i="16"/>
  <c r="G325" i="16"/>
  <c r="G324" i="16"/>
  <c r="G323" i="16"/>
  <c r="G322" i="16"/>
  <c r="G321" i="16"/>
  <c r="G319" i="16"/>
  <c r="G318" i="16"/>
  <c r="G317" i="16"/>
  <c r="G293" i="16"/>
  <c r="G292" i="16"/>
  <c r="G291" i="16"/>
  <c r="G290" i="16"/>
  <c r="G289" i="16"/>
  <c r="G288" i="16"/>
  <c r="G287" i="16"/>
  <c r="G286" i="16"/>
  <c r="I286" i="16"/>
  <c r="G285" i="16"/>
  <c r="G284" i="16"/>
  <c r="G283" i="16"/>
  <c r="G282" i="16"/>
  <c r="G280" i="16"/>
  <c r="G276" i="16"/>
  <c r="G246" i="16"/>
  <c r="G245" i="16"/>
  <c r="G244" i="16"/>
  <c r="G243" i="16"/>
  <c r="G242" i="16"/>
  <c r="G241" i="16"/>
  <c r="G240" i="16"/>
  <c r="G239" i="16"/>
  <c r="G237" i="16"/>
  <c r="G85" i="16"/>
  <c r="G84" i="16"/>
  <c r="G83" i="16"/>
  <c r="G82" i="16"/>
  <c r="G81" i="16"/>
  <c r="G80" i="16"/>
  <c r="G78" i="16"/>
  <c r="G77" i="16"/>
  <c r="G76" i="16"/>
  <c r="G75" i="16"/>
  <c r="G74" i="16"/>
  <c r="G73" i="16"/>
  <c r="G72" i="16"/>
  <c r="G71" i="16"/>
  <c r="G70" i="16"/>
  <c r="G69" i="16"/>
  <c r="G68" i="16"/>
  <c r="G67" i="16"/>
  <c r="G66" i="16"/>
  <c r="G34" i="16"/>
  <c r="G33" i="16"/>
  <c r="G32" i="16"/>
  <c r="G31" i="16"/>
  <c r="G30" i="16"/>
  <c r="G29" i="16"/>
  <c r="G28" i="16"/>
  <c r="G27" i="16"/>
  <c r="G26" i="16"/>
  <c r="G25" i="16"/>
  <c r="G24" i="16"/>
  <c r="G23" i="16"/>
  <c r="G22" i="16"/>
  <c r="G21" i="16"/>
  <c r="G20" i="16"/>
  <c r="G19" i="16"/>
  <c r="G18" i="16"/>
  <c r="G17" i="16"/>
  <c r="G16" i="16"/>
  <c r="G15" i="16"/>
  <c r="G14" i="16"/>
  <c r="G48" i="16"/>
  <c r="G64" i="16"/>
  <c r="G99" i="16"/>
  <c r="C6" i="1"/>
  <c r="C6" i="16"/>
  <c r="C4" i="1"/>
  <c r="C4" i="16"/>
  <c r="C3" i="1"/>
  <c r="C3" i="16"/>
  <c r="C2" i="1"/>
  <c r="C2" i="16"/>
  <c r="C1" i="1"/>
  <c r="C1" i="16"/>
  <c r="G286" i="7"/>
  <c r="I286" i="7"/>
  <c r="J133" i="8"/>
  <c r="I31" i="1"/>
  <c r="I33" i="1"/>
  <c r="I14" i="1"/>
  <c r="I35" i="1"/>
  <c r="O9" i="15"/>
  <c r="R9" i="15"/>
  <c r="Z68" i="15"/>
  <c r="AE45" i="15"/>
  <c r="AF45" i="15"/>
  <c r="R42" i="15"/>
  <c r="R41" i="15"/>
  <c r="AD40" i="15"/>
  <c r="L40" i="15"/>
  <c r="R40" i="15"/>
  <c r="R38" i="15"/>
  <c r="AD36" i="15"/>
  <c r="R36" i="15"/>
  <c r="AA34" i="15"/>
  <c r="R34" i="15"/>
  <c r="AA35" i="15"/>
  <c r="W34" i="15"/>
  <c r="W36" i="15"/>
  <c r="X36" i="15"/>
  <c r="R32" i="15"/>
  <c r="AD30" i="15"/>
  <c r="R30" i="15"/>
  <c r="AB28" i="15"/>
  <c r="AD28" i="15"/>
  <c r="L28" i="15"/>
  <c r="R28" i="15"/>
  <c r="AB27" i="15"/>
  <c r="AD27" i="15"/>
  <c r="L27" i="15"/>
  <c r="R27" i="15"/>
  <c r="AB26" i="15"/>
  <c r="AD26" i="15"/>
  <c r="L26" i="15"/>
  <c r="R26" i="15"/>
  <c r="AB25" i="15"/>
  <c r="AD25" i="15"/>
  <c r="L25" i="15"/>
  <c r="R25" i="15"/>
  <c r="AB24" i="15"/>
  <c r="AD24" i="15"/>
  <c r="L24" i="15"/>
  <c r="R24" i="15"/>
  <c r="AD23" i="15"/>
  <c r="L23" i="15"/>
  <c r="R23" i="15"/>
  <c r="AB22" i="15"/>
  <c r="AD22" i="15"/>
  <c r="R22" i="15"/>
  <c r="AB21" i="15"/>
  <c r="AD21" i="15"/>
  <c r="R21" i="15"/>
  <c r="AB20" i="15"/>
  <c r="AD20" i="15"/>
  <c r="L20" i="15"/>
  <c r="R20" i="15"/>
  <c r="AB19" i="15"/>
  <c r="AD19" i="15"/>
  <c r="L19" i="15"/>
  <c r="R19" i="15"/>
  <c r="AB18" i="15"/>
  <c r="AD18" i="15"/>
  <c r="L18" i="15"/>
  <c r="R18" i="15"/>
  <c r="AB17" i="15"/>
  <c r="AD17" i="15"/>
  <c r="L17" i="15"/>
  <c r="R17" i="15"/>
  <c r="AB16" i="15"/>
  <c r="AD16" i="15"/>
  <c r="L16" i="15"/>
  <c r="R16" i="15"/>
  <c r="R14" i="15"/>
  <c r="R13" i="15"/>
  <c r="R12" i="15"/>
  <c r="T5" i="15"/>
  <c r="T4" i="15"/>
  <c r="G235" i="16"/>
  <c r="G256" i="16"/>
  <c r="G273" i="16"/>
  <c r="G294" i="16"/>
  <c r="G315" i="16"/>
  <c r="G332" i="16"/>
  <c r="G353" i="16"/>
  <c r="G372" i="16"/>
  <c r="G393" i="16"/>
  <c r="G409" i="16"/>
  <c r="R44" i="15"/>
  <c r="AD34" i="15"/>
  <c r="AC44" i="15"/>
  <c r="X44" i="15"/>
  <c r="R45" i="15"/>
  <c r="H33" i="13"/>
  <c r="R53" i="15"/>
  <c r="Z50" i="15"/>
  <c r="AC45" i="15"/>
  <c r="X45" i="15"/>
  <c r="I80" i="14"/>
  <c r="J80" i="14"/>
  <c r="I79" i="14"/>
  <c r="J79" i="14"/>
  <c r="I78" i="14"/>
  <c r="I76" i="14"/>
  <c r="I75" i="14"/>
  <c r="I74" i="14"/>
  <c r="I73" i="14"/>
  <c r="I72" i="14"/>
  <c r="I71" i="14"/>
  <c r="I68" i="14"/>
  <c r="I67" i="14"/>
  <c r="H39" i="14"/>
  <c r="H41" i="14"/>
  <c r="H40" i="14"/>
  <c r="J78" i="14"/>
  <c r="J77" i="14"/>
  <c r="J76" i="14"/>
  <c r="J75" i="14"/>
  <c r="J74" i="14"/>
  <c r="J73" i="14"/>
  <c r="J72" i="14"/>
  <c r="J71" i="14"/>
  <c r="J70" i="14"/>
  <c r="J69" i="14"/>
  <c r="J68" i="14"/>
  <c r="J67" i="14"/>
  <c r="J66" i="14"/>
  <c r="B6" i="14"/>
  <c r="B2" i="14"/>
  <c r="B1" i="14"/>
  <c r="K17" i="13"/>
  <c r="J82" i="14"/>
  <c r="I96" i="14"/>
  <c r="G88" i="14"/>
  <c r="H43" i="13"/>
  <c r="H54" i="13"/>
  <c r="H56" i="13"/>
  <c r="J52" i="13"/>
  <c r="H38" i="14"/>
  <c r="G104" i="8"/>
  <c r="G105" i="8"/>
  <c r="G106" i="8"/>
  <c r="G107" i="8"/>
  <c r="G108" i="8"/>
  <c r="G109" i="8"/>
  <c r="G110" i="8"/>
  <c r="G31" i="12"/>
  <c r="E20" i="2"/>
  <c r="E22" i="2"/>
  <c r="G77" i="11"/>
  <c r="G76" i="11"/>
  <c r="G75" i="11"/>
  <c r="G74" i="11"/>
  <c r="G73" i="11"/>
  <c r="G72" i="11"/>
  <c r="G71" i="11"/>
  <c r="G70" i="11"/>
  <c r="G69" i="11"/>
  <c r="G68" i="11"/>
  <c r="G67" i="11"/>
  <c r="G66" i="11"/>
  <c r="G40" i="11"/>
  <c r="G39" i="11"/>
  <c r="G38" i="11"/>
  <c r="G37" i="11"/>
  <c r="G36" i="11"/>
  <c r="G35" i="11"/>
  <c r="G34" i="11"/>
  <c r="G33" i="11"/>
  <c r="G32" i="11"/>
  <c r="G31" i="11"/>
  <c r="G30" i="11"/>
  <c r="G29" i="11"/>
  <c r="G28" i="11"/>
  <c r="G27" i="11"/>
  <c r="G26" i="11"/>
  <c r="G25" i="11"/>
  <c r="G24" i="11"/>
  <c r="G23" i="11"/>
  <c r="G22" i="11"/>
  <c r="G21" i="11"/>
  <c r="G20" i="11"/>
  <c r="G19" i="11"/>
  <c r="G18" i="11"/>
  <c r="G17" i="11"/>
  <c r="G16" i="11"/>
  <c r="G15" i="11"/>
  <c r="G14" i="11"/>
  <c r="G53" i="11"/>
  <c r="G65" i="11"/>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67" i="10"/>
  <c r="G66" i="10"/>
  <c r="G32" i="10"/>
  <c r="G33" i="10"/>
  <c r="G34" i="10"/>
  <c r="G35" i="10"/>
  <c r="G36" i="10"/>
  <c r="G37" i="10"/>
  <c r="G38" i="10"/>
  <c r="G39" i="10"/>
  <c r="G40" i="10"/>
  <c r="G31" i="10"/>
  <c r="G30" i="10"/>
  <c r="G29" i="10"/>
  <c r="G28" i="10"/>
  <c r="G27" i="10"/>
  <c r="G26" i="10"/>
  <c r="G25" i="10"/>
  <c r="G24" i="10"/>
  <c r="G23" i="10"/>
  <c r="G22" i="10"/>
  <c r="G21" i="10"/>
  <c r="G20" i="10"/>
  <c r="G19" i="10"/>
  <c r="G18" i="10"/>
  <c r="G17" i="10"/>
  <c r="G16" i="10"/>
  <c r="G15" i="10"/>
  <c r="G14" i="10"/>
  <c r="G18" i="9"/>
  <c r="G19" i="9"/>
  <c r="G20" i="9"/>
  <c r="G21" i="9"/>
  <c r="G22" i="9"/>
  <c r="G23" i="9"/>
  <c r="G24" i="9"/>
  <c r="G25" i="9"/>
  <c r="G26" i="9"/>
  <c r="G27" i="9"/>
  <c r="G28" i="9"/>
  <c r="G29" i="9"/>
  <c r="G30" i="9"/>
  <c r="G31" i="9"/>
  <c r="G17" i="9"/>
  <c r="G16" i="9"/>
  <c r="G15" i="9"/>
  <c r="G14" i="9"/>
  <c r="G41" i="9"/>
  <c r="E17" i="2"/>
  <c r="G78" i="11"/>
  <c r="G50" i="10"/>
  <c r="G65" i="10"/>
  <c r="G104" i="10"/>
  <c r="E18" i="2"/>
  <c r="G80" i="11"/>
  <c r="G103" i="11"/>
  <c r="E19" i="2"/>
  <c r="G103" i="8"/>
  <c r="G102" i="8"/>
  <c r="G101" i="8"/>
  <c r="G79" i="8"/>
  <c r="G78" i="8"/>
  <c r="G77" i="8"/>
  <c r="G76" i="8"/>
  <c r="G75" i="8"/>
  <c r="G74" i="8"/>
  <c r="G73" i="8"/>
  <c r="G72" i="8"/>
  <c r="G71" i="8"/>
  <c r="G70" i="8"/>
  <c r="G68" i="8"/>
  <c r="G67" i="8"/>
  <c r="G65" i="8"/>
  <c r="G36" i="8"/>
  <c r="G34" i="8"/>
  <c r="G33" i="8"/>
  <c r="G32" i="8"/>
  <c r="G31" i="8"/>
  <c r="G30" i="8"/>
  <c r="G28" i="8"/>
  <c r="G27" i="8"/>
  <c r="G26" i="8"/>
  <c r="G25" i="8"/>
  <c r="G24" i="8"/>
  <c r="G22" i="8"/>
  <c r="G21" i="8"/>
  <c r="G20" i="8"/>
  <c r="G19" i="8"/>
  <c r="G16" i="8"/>
  <c r="G17" i="8"/>
  <c r="G15" i="8"/>
  <c r="G14" i="8"/>
  <c r="G47" i="8"/>
  <c r="G408" i="7"/>
  <c r="G407" i="7"/>
  <c r="G406" i="7"/>
  <c r="G405" i="7"/>
  <c r="G404" i="7"/>
  <c r="G403" i="7"/>
  <c r="G402" i="7"/>
  <c r="G401" i="7"/>
  <c r="G400" i="7"/>
  <c r="G399" i="7"/>
  <c r="G397" i="7"/>
  <c r="G395" i="7"/>
  <c r="G371" i="7"/>
  <c r="G370" i="7"/>
  <c r="G368" i="7"/>
  <c r="G367" i="7"/>
  <c r="G365" i="7"/>
  <c r="G364" i="7"/>
  <c r="G362" i="7"/>
  <c r="G361" i="7"/>
  <c r="G359" i="7"/>
  <c r="G357" i="7"/>
  <c r="G356" i="7"/>
  <c r="G330" i="7"/>
  <c r="G329" i="7"/>
  <c r="G328" i="7"/>
  <c r="G327" i="7"/>
  <c r="G326" i="7"/>
  <c r="G325" i="7"/>
  <c r="G324" i="7"/>
  <c r="G323" i="7"/>
  <c r="G322" i="7"/>
  <c r="G321" i="7"/>
  <c r="G319" i="7"/>
  <c r="G318" i="7"/>
  <c r="G317" i="7"/>
  <c r="G293" i="7"/>
  <c r="G292" i="7"/>
  <c r="G291" i="7"/>
  <c r="G290" i="7"/>
  <c r="G289" i="7"/>
  <c r="G288" i="7"/>
  <c r="G287" i="7"/>
  <c r="G285" i="7"/>
  <c r="G284" i="7"/>
  <c r="G283" i="7"/>
  <c r="G282" i="7"/>
  <c r="G280" i="7"/>
  <c r="G276" i="7"/>
  <c r="G246" i="7"/>
  <c r="G245" i="7"/>
  <c r="G244" i="7"/>
  <c r="G243" i="7"/>
  <c r="G242" i="7"/>
  <c r="G241" i="7"/>
  <c r="G240" i="7"/>
  <c r="G239" i="7"/>
  <c r="G237" i="7"/>
  <c r="G213" i="7"/>
  <c r="G212" i="7"/>
  <c r="G211" i="7"/>
  <c r="G210" i="7"/>
  <c r="G209" i="7"/>
  <c r="G208" i="7"/>
  <c r="G207" i="7"/>
  <c r="G205" i="7"/>
  <c r="G204" i="7"/>
  <c r="G202" i="7"/>
  <c r="G201" i="7"/>
  <c r="G199" i="7"/>
  <c r="G198" i="7"/>
  <c r="G168" i="7"/>
  <c r="G167" i="7"/>
  <c r="G166" i="7"/>
  <c r="G165" i="7"/>
  <c r="G164" i="7"/>
  <c r="G162" i="7"/>
  <c r="G161" i="7"/>
  <c r="G160" i="7"/>
  <c r="G158" i="7"/>
  <c r="G157" i="7"/>
  <c r="G133" i="7"/>
  <c r="G132" i="7"/>
  <c r="G131" i="7"/>
  <c r="G130" i="7"/>
  <c r="G129" i="7"/>
  <c r="G128" i="7"/>
  <c r="G127" i="7"/>
  <c r="G126" i="7"/>
  <c r="G125" i="7"/>
  <c r="G124" i="7"/>
  <c r="G123" i="7"/>
  <c r="G121" i="7"/>
  <c r="G117" i="7"/>
  <c r="G85" i="7"/>
  <c r="G84" i="7"/>
  <c r="G83" i="7"/>
  <c r="G82" i="7"/>
  <c r="G81" i="7"/>
  <c r="G80" i="7"/>
  <c r="G78" i="7"/>
  <c r="G77" i="7"/>
  <c r="G76" i="7"/>
  <c r="G75" i="7"/>
  <c r="G74" i="7"/>
  <c r="G73" i="7"/>
  <c r="G72" i="7"/>
  <c r="G71" i="7"/>
  <c r="G70" i="7"/>
  <c r="G69" i="7"/>
  <c r="G68" i="7"/>
  <c r="G67" i="7"/>
  <c r="G66" i="7"/>
  <c r="G16" i="7"/>
  <c r="G17" i="7"/>
  <c r="G18" i="7"/>
  <c r="G19" i="7"/>
  <c r="G20" i="7"/>
  <c r="G21" i="7"/>
  <c r="G22" i="7"/>
  <c r="G23" i="7"/>
  <c r="G24" i="7"/>
  <c r="G25" i="7"/>
  <c r="G26" i="7"/>
  <c r="G27" i="7"/>
  <c r="G28" i="7"/>
  <c r="G29" i="7"/>
  <c r="G30" i="7"/>
  <c r="G31" i="7"/>
  <c r="G32" i="7"/>
  <c r="G33" i="7"/>
  <c r="G34" i="7"/>
  <c r="G15" i="7"/>
  <c r="G14" i="7"/>
  <c r="G26" i="6"/>
  <c r="G25" i="6"/>
  <c r="G24" i="6"/>
  <c r="G23" i="6"/>
  <c r="G22" i="6"/>
  <c r="G21" i="6"/>
  <c r="G20" i="6"/>
  <c r="G19" i="6"/>
  <c r="G18" i="6"/>
  <c r="G17" i="6"/>
  <c r="G16" i="6"/>
  <c r="G15" i="6"/>
  <c r="G14" i="6"/>
  <c r="G26" i="5"/>
  <c r="G25" i="5"/>
  <c r="G23" i="5"/>
  <c r="G22" i="5"/>
  <c r="G20" i="5"/>
  <c r="G18" i="5"/>
  <c r="G17" i="5"/>
  <c r="G15" i="5"/>
  <c r="G14" i="5"/>
  <c r="G14" i="4"/>
  <c r="G42" i="4"/>
  <c r="G41" i="4"/>
  <c r="G40" i="4"/>
  <c r="G39" i="4"/>
  <c r="G38" i="4"/>
  <c r="G37" i="4"/>
  <c r="G36" i="4"/>
  <c r="G34" i="4"/>
  <c r="G33" i="4"/>
  <c r="G32" i="4"/>
  <c r="G31" i="4"/>
  <c r="G30" i="4"/>
  <c r="G29" i="4"/>
  <c r="G28" i="4"/>
  <c r="G27" i="4"/>
  <c r="G26" i="4"/>
  <c r="G25" i="4"/>
  <c r="G24" i="4"/>
  <c r="G23" i="4"/>
  <c r="G22" i="4"/>
  <c r="G21" i="4"/>
  <c r="G20" i="4"/>
  <c r="G19" i="4"/>
  <c r="G18" i="4"/>
  <c r="G17" i="4"/>
  <c r="G16" i="4"/>
  <c r="G15" i="4"/>
  <c r="G35" i="4"/>
  <c r="C7" i="14"/>
  <c r="C4" i="14"/>
  <c r="J7" i="14"/>
  <c r="J8" i="14"/>
  <c r="G14" i="3"/>
  <c r="G16" i="3"/>
  <c r="G17" i="3"/>
  <c r="G18" i="3"/>
  <c r="G20" i="3"/>
  <c r="G21" i="3"/>
  <c r="G22" i="3"/>
  <c r="G27" i="3"/>
  <c r="G26" i="3"/>
  <c r="G25" i="3"/>
  <c r="G24" i="3"/>
  <c r="G23" i="3"/>
  <c r="G19" i="3"/>
  <c r="G15" i="3"/>
  <c r="G43" i="4"/>
  <c r="E12" i="2"/>
  <c r="C4" i="5"/>
  <c r="C5" i="14"/>
  <c r="C2" i="4"/>
  <c r="C3" i="14"/>
  <c r="C1" i="4"/>
  <c r="C2" i="14"/>
  <c r="C6" i="7"/>
  <c r="C6" i="12"/>
  <c r="C6" i="11"/>
  <c r="C6" i="10"/>
  <c r="C6" i="9"/>
  <c r="C6" i="8"/>
  <c r="C1" i="5"/>
  <c r="C2" i="6"/>
  <c r="C2" i="11"/>
  <c r="C2" i="12"/>
  <c r="C2" i="10"/>
  <c r="C2" i="9"/>
  <c r="C2" i="8"/>
  <c r="C6" i="3"/>
  <c r="C6" i="4"/>
  <c r="C4" i="4"/>
  <c r="C4" i="12"/>
  <c r="C4" i="11"/>
  <c r="C4" i="10"/>
  <c r="C4" i="9"/>
  <c r="C4" i="8"/>
  <c r="C1" i="7"/>
  <c r="C1" i="11"/>
  <c r="C1" i="12"/>
  <c r="C1" i="10"/>
  <c r="C1" i="9"/>
  <c r="C1" i="8"/>
  <c r="C2" i="7"/>
  <c r="C3" i="5"/>
  <c r="C3" i="12"/>
  <c r="C3" i="11"/>
  <c r="C3" i="9"/>
  <c r="C3" i="10"/>
  <c r="C3" i="8"/>
  <c r="C4" i="3"/>
  <c r="C6" i="5"/>
  <c r="G48" i="7"/>
  <c r="G64" i="7"/>
  <c r="G99" i="7"/>
  <c r="G114" i="7"/>
  <c r="G134" i="7"/>
  <c r="G155" i="7"/>
  <c r="G173" i="7"/>
  <c r="G195" i="7"/>
  <c r="G214" i="7"/>
  <c r="G235" i="7"/>
  <c r="G256" i="7"/>
  <c r="G273" i="7"/>
  <c r="G294" i="7"/>
  <c r="G315" i="7"/>
  <c r="G332" i="7"/>
  <c r="G353" i="7"/>
  <c r="G372" i="7"/>
  <c r="G393" i="7"/>
  <c r="G409" i="7"/>
  <c r="E15" i="2"/>
  <c r="C2" i="3"/>
  <c r="C3" i="4"/>
  <c r="C2" i="5"/>
  <c r="C1" i="6"/>
  <c r="C6" i="6"/>
  <c r="G27" i="6"/>
  <c r="E14" i="2"/>
  <c r="C4" i="7"/>
  <c r="C3" i="6"/>
  <c r="C3" i="3"/>
  <c r="C4" i="6"/>
  <c r="C3" i="7"/>
  <c r="C1" i="3"/>
  <c r="G27" i="5"/>
  <c r="E13" i="2"/>
  <c r="G28" i="3"/>
  <c r="E11" i="2"/>
  <c r="G37" i="1"/>
  <c r="G36" i="1"/>
  <c r="G35" i="1"/>
  <c r="G33" i="1"/>
  <c r="G31" i="1"/>
  <c r="G29" i="1"/>
  <c r="G28" i="1"/>
  <c r="G27" i="1"/>
  <c r="G26" i="1"/>
  <c r="G25" i="1"/>
  <c r="G24" i="1"/>
  <c r="G22" i="1"/>
  <c r="G20" i="1"/>
  <c r="G19" i="1"/>
  <c r="G17" i="1"/>
  <c r="G16" i="1"/>
  <c r="G14" i="1"/>
  <c r="H37" i="13"/>
  <c r="H37" i="14"/>
  <c r="I42" i="14"/>
  <c r="F96" i="14"/>
  <c r="G38" i="1"/>
  <c r="E10" i="2"/>
  <c r="G63" i="8"/>
  <c r="G80" i="8"/>
  <c r="G100" i="8"/>
  <c r="G140" i="8"/>
  <c r="E16" i="2"/>
  <c r="H22" i="13"/>
  <c r="H33" i="14"/>
  <c r="I35" i="14"/>
  <c r="I43" i="14"/>
  <c r="E21" i="2"/>
  <c r="E23" i="2"/>
  <c r="E96" i="14"/>
  <c r="H96" i="14"/>
  <c r="J96" i="14"/>
  <c r="E27" i="2"/>
  <c r="E28" i="2"/>
  <c r="E26" i="2"/>
  <c r="D90" i="14"/>
  <c r="E88" i="14"/>
  <c r="E29" i="2"/>
  <c r="D21" i="2"/>
  <c r="J102" i="14"/>
  <c r="D13" i="2"/>
  <c r="D12" i="2"/>
  <c r="D19" i="2"/>
  <c r="D10" i="2"/>
  <c r="D14" i="2"/>
  <c r="D15" i="2"/>
  <c r="D26" i="2"/>
  <c r="D17" i="2"/>
  <c r="D20" i="2"/>
  <c r="D22" i="2"/>
  <c r="D23" i="2"/>
  <c r="E30" i="2"/>
  <c r="D30" i="2"/>
  <c r="J16" i="13"/>
  <c r="D28" i="2"/>
  <c r="D29" i="2"/>
  <c r="D27" i="2"/>
  <c r="D11" i="2"/>
  <c r="D25" i="2"/>
  <c r="D16" i="2"/>
  <c r="D24" i="2"/>
  <c r="D18" i="2"/>
  <c r="K102" i="14"/>
  <c r="E31" i="2"/>
  <c r="D31" i="2"/>
  <c r="H25" i="13"/>
  <c r="H27" i="13"/>
  <c r="H29" i="13"/>
  <c r="H31" i="13"/>
  <c r="H35" i="13"/>
  <c r="H39" i="13"/>
  <c r="H45" i="13"/>
  <c r="H48" i="13"/>
  <c r="H50" i="13"/>
</calcChain>
</file>

<file path=xl/sharedStrings.xml><?xml version="1.0" encoding="utf-8"?>
<sst xmlns="http://schemas.openxmlformats.org/spreadsheetml/2006/main" count="2126" uniqueCount="886">
  <si>
    <t>Bill</t>
  </si>
  <si>
    <t>Pay</t>
  </si>
  <si>
    <t>TRAFFIC SAFETY AND CONTROL</t>
  </si>
  <si>
    <t>103(1)</t>
  </si>
  <si>
    <t>mth</t>
  </si>
  <si>
    <t>CONTRACTOR'S SITE ESTABLISHMENT</t>
  </si>
  <si>
    <t>108.(1)</t>
  </si>
  <si>
    <t>Mobilization of contractor's facilities and plant / machinery</t>
  </si>
  <si>
    <t>LS</t>
  </si>
  <si>
    <t>108.(2)</t>
  </si>
  <si>
    <t>De-mobilization of contractor's facilities and plant / machinery</t>
  </si>
  <si>
    <t>SETTING OUT, CROSS SECTION SURVEYS AND DRAWINGS</t>
  </si>
  <si>
    <t>117(1)</t>
  </si>
  <si>
    <t xml:space="preserve">All necessary surveying, levelling and setting outs including establishment of all control points and monuments  </t>
  </si>
  <si>
    <t>km</t>
  </si>
  <si>
    <t>117(2)</t>
  </si>
  <si>
    <t>Preparation of detailed cross sections</t>
  </si>
  <si>
    <t>nr</t>
  </si>
  <si>
    <t>PROJECT SIGN BOARDS</t>
  </si>
  <si>
    <t>118(1)</t>
  </si>
  <si>
    <t>INSURANCE, BONDS AND SECURITIES</t>
  </si>
  <si>
    <t>119.1(1)</t>
  </si>
  <si>
    <t>Insurance of the works</t>
  </si>
  <si>
    <t>119.1(2)</t>
  </si>
  <si>
    <t>Insurance of the contractor's equipment</t>
  </si>
  <si>
    <t>119.1(3)</t>
  </si>
  <si>
    <t>Third party insurance</t>
  </si>
  <si>
    <t>119.1(4)</t>
  </si>
  <si>
    <t>Workmen's compensation insurance</t>
  </si>
  <si>
    <t>119.2(1)</t>
  </si>
  <si>
    <t>Performance security</t>
  </si>
  <si>
    <t>119.2(2)</t>
  </si>
  <si>
    <t>Bank guarantee for advance payment</t>
  </si>
  <si>
    <t>1.6</t>
  </si>
  <si>
    <t>VEHICLES FOR THE EMPLOYER</t>
  </si>
  <si>
    <t>126 (1)</t>
  </si>
  <si>
    <t>Provide and maintenance of vehicles - Type A</t>
  </si>
  <si>
    <t>veh-mth</t>
  </si>
  <si>
    <t>1.7</t>
  </si>
  <si>
    <t>MAINTENANCE OF EXISTING ROAD</t>
  </si>
  <si>
    <t>121 (1)</t>
  </si>
  <si>
    <t>Maintenance of road</t>
  </si>
  <si>
    <t>km-week</t>
  </si>
  <si>
    <t>1.8</t>
  </si>
  <si>
    <t xml:space="preserve">LABORATORY </t>
  </si>
  <si>
    <t>128 (1)</t>
  </si>
  <si>
    <t>Establishment of Fully furnished Main Laboratory and removal on completion of project.</t>
  </si>
  <si>
    <t>128 (3)</t>
  </si>
  <si>
    <t>Maintain Laboratory and Lab equipment</t>
  </si>
  <si>
    <t>129 (1)</t>
  </si>
  <si>
    <t>Provide survey equipment for exclusive use of the Employer / Engineer</t>
  </si>
  <si>
    <t>CONTRACT NAME</t>
  </si>
  <si>
    <t xml:space="preserve">                                        </t>
  </si>
  <si>
    <t>CONTRACT NO</t>
  </si>
  <si>
    <t>Interim Valuation No.</t>
  </si>
  <si>
    <t>Period Ending</t>
  </si>
  <si>
    <t>BOQ</t>
  </si>
  <si>
    <t>Amount (Rs.)</t>
  </si>
  <si>
    <t>Management, safety &amp; control &amp; Temporary diversion of traffic including provision of a general traffic management plan</t>
  </si>
  <si>
    <t>Provide and maintain project signboards</t>
  </si>
  <si>
    <t>Bill No 01. Total Carried to Summary</t>
  </si>
  <si>
    <t>:MISCELLANEOUS FOREIGN AIDED PROJECT</t>
  </si>
  <si>
    <t>FUNDED BY OPEC FUND FOR INTERNATIONAL DEVELOPMENT (OFID)</t>
  </si>
  <si>
    <t>REHABILITATION OF THE A-017 ROAD CORRIDOR PROJECT (SURIYAKANDA - RAKWANA)</t>
  </si>
  <si>
    <t>SECTION FROM CH. 112+600 KM TO CH. 118+600 KM</t>
  </si>
  <si>
    <t>:RDA/MFAP/ICB/OFID-04(A)</t>
  </si>
  <si>
    <t>Prepared By</t>
  </si>
  <si>
    <t>Quantity Surveyor</t>
  </si>
  <si>
    <t>Submitted by</t>
  </si>
  <si>
    <t>J Garusinghe</t>
  </si>
  <si>
    <t>Project Manager</t>
  </si>
  <si>
    <t>WA Premarathna</t>
  </si>
  <si>
    <t>AMOUNT ( Sri Lanka Rupees)</t>
  </si>
  <si>
    <t>Bill No.</t>
  </si>
  <si>
    <t>Description</t>
  </si>
  <si>
    <t>Allot.  %</t>
  </si>
  <si>
    <t>Contract</t>
  </si>
  <si>
    <t>Preliminary and General</t>
  </si>
  <si>
    <t>Site Clearing</t>
  </si>
  <si>
    <t>Earthworks</t>
  </si>
  <si>
    <t>Road Pavement</t>
  </si>
  <si>
    <t>Drainage</t>
  </si>
  <si>
    <t>Culvert, Retaining Structures</t>
  </si>
  <si>
    <t>Incidental Construction</t>
  </si>
  <si>
    <t>8-1</t>
  </si>
  <si>
    <t>Day Works - Labour</t>
  </si>
  <si>
    <t>8-2</t>
  </si>
  <si>
    <t>Day Works - Equipment</t>
  </si>
  <si>
    <t>8-3</t>
  </si>
  <si>
    <t>Day Works - Materials</t>
  </si>
  <si>
    <t>Provisional Sums</t>
  </si>
  <si>
    <t>SUB - Total 1 :(Excl. Provisional Sums)</t>
  </si>
  <si>
    <t xml:space="preserve">SUB - Total 2 :Provisional Sums  </t>
  </si>
  <si>
    <t>A</t>
  </si>
  <si>
    <t>TOTAL BOQ AMOUNT</t>
  </si>
  <si>
    <t>B</t>
  </si>
  <si>
    <t>Variation Orders</t>
  </si>
  <si>
    <t>C</t>
  </si>
  <si>
    <t>Claims</t>
  </si>
  <si>
    <t>D</t>
  </si>
  <si>
    <t>Construction Cost Total  (A+B+C)</t>
  </si>
  <si>
    <t>E</t>
  </si>
  <si>
    <t>F</t>
  </si>
  <si>
    <t>SUB - Total 3:Total Project Cost (D+E+F) without VAT</t>
  </si>
  <si>
    <t xml:space="preserve">Total Project cost with VAT </t>
  </si>
  <si>
    <t xml:space="preserve">SUMMARY SHEET </t>
  </si>
  <si>
    <t>CLEARING AND GRUBBING</t>
  </si>
  <si>
    <t>201(1)</t>
  </si>
  <si>
    <t>Clearing and grubbing</t>
  </si>
  <si>
    <t>sq.m</t>
  </si>
  <si>
    <t>201(3)</t>
  </si>
  <si>
    <t xml:space="preserve">Removal of trees, girth  greater than or equal to 600 and less than 1200 mm </t>
  </si>
  <si>
    <t>No.</t>
  </si>
  <si>
    <t>201(4)</t>
  </si>
  <si>
    <t xml:space="preserve">Removal of trees, girth  greater than or equal to 1200 and less than 2000 mm </t>
  </si>
  <si>
    <t>201(5)</t>
  </si>
  <si>
    <t>Removal of trees, girth  greater than  2000 mm.</t>
  </si>
  <si>
    <t>201(6)</t>
  </si>
  <si>
    <t>Removal of stumps of previously felled trees;girth 300-600mm</t>
  </si>
  <si>
    <t>201(7)</t>
  </si>
  <si>
    <t>Removal of stumps of previously felled trees;girth 600-1200mm</t>
  </si>
  <si>
    <t>201(8)</t>
  </si>
  <si>
    <t>Removal of stumps of previously felled trees;girth 1200-2000mm</t>
  </si>
  <si>
    <t>201(9)</t>
  </si>
  <si>
    <t>Removal of stumps of previously felled trees;girth over 2000mm</t>
  </si>
  <si>
    <t>201(10)</t>
  </si>
  <si>
    <t>Removal of over hanging branches of girth exceeding 300mm.</t>
  </si>
  <si>
    <t>REMOVAL OF EXISTING STRUCTURES</t>
  </si>
  <si>
    <t>202(1)</t>
  </si>
  <si>
    <t xml:space="preserve">Dismantaling and removal of brick masonery structure </t>
  </si>
  <si>
    <t>cu.m</t>
  </si>
  <si>
    <t>202(2)</t>
  </si>
  <si>
    <t xml:space="preserve">Dismantaling and removal of random rubble structure </t>
  </si>
  <si>
    <t>202(3)</t>
  </si>
  <si>
    <t xml:space="preserve">Dismantaling and removal of concrete structure </t>
  </si>
  <si>
    <t>202(5)</t>
  </si>
  <si>
    <t>Remove of fencing</t>
  </si>
  <si>
    <t>Lm</t>
  </si>
  <si>
    <t>Item</t>
  </si>
  <si>
    <t>Unit</t>
  </si>
  <si>
    <t>Quantity</t>
  </si>
  <si>
    <t>Rate</t>
  </si>
  <si>
    <t>BILL No.1 : PRELIMINARY AND GENERAL ITEMS</t>
  </si>
  <si>
    <t>BILL NO 2: SITE CLEARING</t>
  </si>
  <si>
    <t>Bill No.2 Total Carried to Summary</t>
  </si>
  <si>
    <t>BILL No 03: EARTH WORKS</t>
  </si>
  <si>
    <t>ROADWAY EXCAVATION</t>
  </si>
  <si>
    <t>301(1)</t>
  </si>
  <si>
    <t>Roadway excavation,soil suitable for fill</t>
  </si>
  <si>
    <t>301(2)</t>
  </si>
  <si>
    <t>Roadway excavation, soft rock</t>
  </si>
  <si>
    <t>301(3)</t>
  </si>
  <si>
    <t>Roadway excavation, hard rock</t>
  </si>
  <si>
    <t>301(5)</t>
  </si>
  <si>
    <t xml:space="preserve">Roadway excavation, unsuitable soil </t>
  </si>
  <si>
    <t>301(7)</t>
  </si>
  <si>
    <t>Roadway Pavement Excavation.</t>
  </si>
  <si>
    <t>301(8)</t>
  </si>
  <si>
    <t xml:space="preserve">Prepare sub grade in cut areas </t>
  </si>
  <si>
    <t>301(9)</t>
  </si>
  <si>
    <t>Roadway excavation,marshy soil</t>
  </si>
  <si>
    <t>301(5a)</t>
  </si>
  <si>
    <t>Cutting side drain</t>
  </si>
  <si>
    <t>301(3a)</t>
  </si>
  <si>
    <t>Roadway excavation, Hard rock blasting prohibited</t>
  </si>
  <si>
    <t>301(4)</t>
  </si>
  <si>
    <t>Roadway excavation - Boulder</t>
  </si>
  <si>
    <t>EXCAVATION AND BACKFILLING OF STRUCTURES</t>
  </si>
  <si>
    <t>302(1)</t>
  </si>
  <si>
    <t>Excavation for structures,soil suitable for backfill</t>
  </si>
  <si>
    <t>302(3)</t>
  </si>
  <si>
    <t>Excavation for structures,boulders</t>
  </si>
  <si>
    <t>302(4)</t>
  </si>
  <si>
    <t>Excavation for structures,hard rock</t>
  </si>
  <si>
    <t>302(5)</t>
  </si>
  <si>
    <t>Excavation for structures, unsuitable soil</t>
  </si>
  <si>
    <t>302(9)</t>
  </si>
  <si>
    <t>Preparation of base for foundation</t>
  </si>
  <si>
    <t>302(15)</t>
  </si>
  <si>
    <t>302(8)</t>
  </si>
  <si>
    <t>Backfill with granular materials</t>
  </si>
  <si>
    <t>EMBANKMENT CONSTRUCTION</t>
  </si>
  <si>
    <t>304(A)</t>
  </si>
  <si>
    <t>Remove and replace weak material with buolders</t>
  </si>
  <si>
    <t>Cum</t>
  </si>
  <si>
    <t>304(1a)</t>
  </si>
  <si>
    <t>Embankment construction using type - 11 material from roadway excavation and compacted in position.</t>
  </si>
  <si>
    <t>304(1b)</t>
  </si>
  <si>
    <t>Embankment construction using type - 1 material from roadway excavation and compacted in position.</t>
  </si>
  <si>
    <t>304(2a)</t>
  </si>
  <si>
    <t>Embankment construction using borrow material compacted in position Type- 11 material</t>
  </si>
  <si>
    <t>304(2b)</t>
  </si>
  <si>
    <t>Embankment construction using borrow material compacted in position Type- 1 material</t>
  </si>
  <si>
    <t>304(3)</t>
  </si>
  <si>
    <t>Trimming leveling and compaction of original ground</t>
  </si>
  <si>
    <t>304(4)</t>
  </si>
  <si>
    <t xml:space="preserve">Provide and place Geofabric , Filter Fabric </t>
  </si>
  <si>
    <t>Sq.m.</t>
  </si>
  <si>
    <t>304(6)</t>
  </si>
  <si>
    <t>Embanment Construction using Rock fill</t>
  </si>
  <si>
    <t>801(1)</t>
  </si>
  <si>
    <t>Top soiling</t>
  </si>
  <si>
    <t>802(1)</t>
  </si>
  <si>
    <t>Turfing (Assuming Turfing thickness 150mm)</t>
  </si>
  <si>
    <t>Excavation in unsuitable soil and backfill with approved soil</t>
  </si>
  <si>
    <t>Bill No.3 Total Carried to Summary</t>
  </si>
  <si>
    <t>BILL No 04: ROAD PAVEMENT</t>
  </si>
  <si>
    <t>SUB BASES, CAPPING LAYERS AND BASES</t>
  </si>
  <si>
    <t xml:space="preserve">401(1) </t>
  </si>
  <si>
    <t>Provide and place Sub-base as compacted in position Type I (upper sub base)</t>
  </si>
  <si>
    <t>405(1)</t>
  </si>
  <si>
    <t>Dense graded aggregate base (37.5mm)</t>
  </si>
  <si>
    <t>RECONSTRUCTION OF EXISTING BASES</t>
  </si>
  <si>
    <t>408(1)</t>
  </si>
  <si>
    <t xml:space="preserve">Base correction </t>
  </si>
  <si>
    <t>408(2)</t>
  </si>
  <si>
    <t>Scarification of existing base</t>
  </si>
  <si>
    <t>SHOULDER CONSTRUCTION</t>
  </si>
  <si>
    <t>409(1)</t>
  </si>
  <si>
    <t>Earthen shoulder as compacted in position</t>
  </si>
  <si>
    <t>PRIME COAT AND TACK COAT</t>
  </si>
  <si>
    <t>501(5)</t>
  </si>
  <si>
    <t>502(2)</t>
  </si>
  <si>
    <t>Bituminous tack coat using CRS 1 at rate of 0.25 - 0.55 ltr per sq.m</t>
  </si>
  <si>
    <t>ASPHALTIC CONCRETE SURFACING</t>
  </si>
  <si>
    <t>506(1)</t>
  </si>
  <si>
    <t xml:space="preserve">Asphalt Concrete in Wearing Course </t>
  </si>
  <si>
    <t>tonnes</t>
  </si>
  <si>
    <t>506(3)</t>
  </si>
  <si>
    <t>Asphalt Concrete in regulating course</t>
  </si>
  <si>
    <t>Bill No. 4 Carried to Summary</t>
  </si>
  <si>
    <r>
      <t xml:space="preserve">Prime coat with </t>
    </r>
    <r>
      <rPr>
        <sz val="9"/>
        <rFont val="Cambria"/>
        <family val="1"/>
        <scheme val="major"/>
      </rPr>
      <t xml:space="preserve">bituminous MC30 over DGAB </t>
    </r>
    <r>
      <rPr>
        <sz val="10"/>
        <rFont val="Cambria"/>
        <family val="1"/>
        <scheme val="major"/>
      </rPr>
      <t xml:space="preserve">at the rate of 1lt/sqm including application of blotting material </t>
    </r>
  </si>
  <si>
    <t xml:space="preserve"> BILL No.5 : DRAINAGE</t>
  </si>
  <si>
    <t xml:space="preserve">ROAD SIDE AND LEADAWAY DRAINS </t>
  </si>
  <si>
    <t>Excavation  for built up drains in unclassified soil &amp; backfilling.</t>
  </si>
  <si>
    <t xml:space="preserve">Excavation  for leadaway drains, hard rock </t>
  </si>
  <si>
    <t>701(2a)</t>
  </si>
  <si>
    <t>Lining of drains with in situ class A or B 25/20 concrete</t>
  </si>
  <si>
    <t>cum</t>
  </si>
  <si>
    <t>701(2b)</t>
  </si>
  <si>
    <t>Lining of drains with in situ class C15/20 concrete</t>
  </si>
  <si>
    <t>701(3)</t>
  </si>
  <si>
    <t>Lining of drains with R.R. masonry</t>
  </si>
  <si>
    <t>701(6a)</t>
  </si>
  <si>
    <t>100mm thick Precast concrete cover slab including reinforcement &amp; formwork</t>
  </si>
  <si>
    <t>701(6b)</t>
  </si>
  <si>
    <t>125mm thick Precast concrete cover slab including reinforcement &amp; formwork</t>
  </si>
  <si>
    <t>701(6c)</t>
  </si>
  <si>
    <t>150mm thick Precast concrete cover slab including reinforcement &amp; formwork</t>
  </si>
  <si>
    <t>701(7)</t>
  </si>
  <si>
    <t>Supply and fixing of Galvanized steel Gratings as per the given Drawings</t>
  </si>
  <si>
    <t>1001(2a)</t>
  </si>
  <si>
    <t>Concrete nominal mix 1:3:6 (37.5mm) as screed to the foundation</t>
  </si>
  <si>
    <t>1002(1)</t>
  </si>
  <si>
    <t>Steel Reinforcement (Tor Steel)</t>
  </si>
  <si>
    <t>1008(2)</t>
  </si>
  <si>
    <t>Formwork rough finish</t>
  </si>
  <si>
    <t>1008(1)</t>
  </si>
  <si>
    <t>Formwork, smooth finish</t>
  </si>
  <si>
    <t>Bill No. 5 Carried to Summary</t>
  </si>
  <si>
    <t>tonne</t>
  </si>
  <si>
    <t xml:space="preserve"> BILL No.6 : BRIDGES,CULVERTS &amp;  RETAINING STRUCTURES </t>
  </si>
  <si>
    <t>CULVERTS</t>
  </si>
  <si>
    <t>705(1)</t>
  </si>
  <si>
    <t>Aggregate backfill</t>
  </si>
  <si>
    <t>705(2)</t>
  </si>
  <si>
    <t>Filter medium</t>
  </si>
  <si>
    <t>705(3)</t>
  </si>
  <si>
    <t xml:space="preserve">Impervious layer (Clay puddle) </t>
  </si>
  <si>
    <t>706(1)</t>
  </si>
  <si>
    <t>Weep hole, PVC pipe (Type 600) - 75mm diameter</t>
  </si>
  <si>
    <t>l.m</t>
  </si>
  <si>
    <t>707(1)</t>
  </si>
  <si>
    <t>707(2)</t>
  </si>
  <si>
    <t>707(3)</t>
  </si>
  <si>
    <t>1001(1a)</t>
  </si>
  <si>
    <t>Concrete:  Grade  A 25(20)</t>
  </si>
  <si>
    <t>1001(1b)</t>
  </si>
  <si>
    <t>Concrete:  Grade  A 20(20)</t>
  </si>
  <si>
    <t>1001(2)</t>
  </si>
  <si>
    <t>Concrete:  Grade  C 15(37.5)</t>
  </si>
  <si>
    <t xml:space="preserve">Tor steel  reinforcement </t>
  </si>
  <si>
    <t>ton.</t>
  </si>
  <si>
    <t xml:space="preserve">Mild steel  reinforcement </t>
  </si>
  <si>
    <t>Formwork smooth finish</t>
  </si>
  <si>
    <t>1011(1)</t>
  </si>
  <si>
    <t xml:space="preserve">20 mm -400mm long Steel dowels </t>
  </si>
  <si>
    <t>1303(3)</t>
  </si>
  <si>
    <t>Painting of culverts and bridges with weather shield emulsion paint two coats</t>
  </si>
  <si>
    <t>1303(4)</t>
  </si>
  <si>
    <t>Stencilling and numbering of culverts &amp; parapets</t>
  </si>
  <si>
    <t>1006(1a)</t>
  </si>
  <si>
    <t>R R Masonry using cement mortar 1:5</t>
  </si>
  <si>
    <t>1006(1b)</t>
  </si>
  <si>
    <t>R R Masonry with available rubble using cement mortar 1:5</t>
  </si>
  <si>
    <t>1006(3)</t>
  </si>
  <si>
    <t>Plastering, 1:3 cement sand mix, 12.5mm thick</t>
  </si>
  <si>
    <t>302(11)</t>
  </si>
  <si>
    <t>Dewatering</t>
  </si>
  <si>
    <t>RETAINING STRUCTURES</t>
  </si>
  <si>
    <t>Concrete:  Grade A 25(20)</t>
  </si>
  <si>
    <t>Concrete:  Grade15(37.5)</t>
  </si>
  <si>
    <t>300 x 150 rubble paving with 1:3:6(37.5) concrete mortar</t>
  </si>
  <si>
    <t xml:space="preserve">25 mm - 600mm long Steel dowels </t>
  </si>
  <si>
    <t>GABION WALLS</t>
  </si>
  <si>
    <t>Concrete:  Grade A 20(20)</t>
  </si>
  <si>
    <t>Concrete:  Grade B 15(37.5)</t>
  </si>
  <si>
    <t>805(1)</t>
  </si>
  <si>
    <t>Gabion</t>
  </si>
  <si>
    <t>805(2)</t>
  </si>
  <si>
    <t>Filter fabric</t>
  </si>
  <si>
    <t>Sqm</t>
  </si>
  <si>
    <t>RECONSTRUCTION/WIDENING OF BRIDGE                   No. 115/4</t>
  </si>
  <si>
    <t>A. REMOVAL OF EXISTING STRUCTURES</t>
  </si>
  <si>
    <t>202(7)</t>
  </si>
  <si>
    <t>Removal and disposal of existing bridge deck, dismantling of steel work, transporting the reusalble material to a place within 10km. as directed and stacking the same after completion of the first stage and allowing traffic on the same and dimolishing the existing substructure to level specified in the drawing.</t>
  </si>
  <si>
    <t xml:space="preserve"> </t>
  </si>
  <si>
    <t>B. FOUNDATION  &amp;  SUBSTRUCTURE</t>
  </si>
  <si>
    <t>Abutment &amp; Wingwall</t>
  </si>
  <si>
    <t>Clearing &amp; Grubbing</t>
  </si>
  <si>
    <t>m2</t>
  </si>
  <si>
    <t>Excavation &amp; Backfill</t>
  </si>
  <si>
    <t>Excavation in unclassified soil and backfill for abutments, and wingwalls.</t>
  </si>
  <si>
    <t>m3</t>
  </si>
  <si>
    <t>302(2)</t>
  </si>
  <si>
    <t>Excavation in highly weathered rock</t>
  </si>
  <si>
    <t>Excavation in hard rock</t>
  </si>
  <si>
    <t>L.S.</t>
  </si>
  <si>
    <t>302(10)</t>
  </si>
  <si>
    <t>Construction of necessary cofferdams cribs sheeting, shoring and bracing and their subsequent removal.</t>
  </si>
  <si>
    <t>Concrete For Structures</t>
  </si>
  <si>
    <t>Class A concrete of Grade  30 (20) in bottom slab &amp; drop wall.</t>
  </si>
  <si>
    <t>Class A concrete of Grade  30 (20) in side walls, wing walls 7 corbel for approach slab</t>
  </si>
  <si>
    <t>1001(3a)</t>
  </si>
  <si>
    <t>Class C concrete of nominal mix 1:3:6(20) as screed under bottom slab of box Bridge &amp; wingwalls.</t>
  </si>
  <si>
    <t>1001(1c)</t>
  </si>
  <si>
    <t>Class A concrete of Grade 25(20) in  approach slabs.</t>
  </si>
  <si>
    <t>Formwork</t>
  </si>
  <si>
    <t>Rough finish formwork for bottom slabs &amp; drop wall of box bridge</t>
  </si>
  <si>
    <t>1008(1a)</t>
  </si>
  <si>
    <t>Smooth finish formwork for side walls, wingwalls, corbbel for approach slab</t>
  </si>
  <si>
    <t>Reinforcement</t>
  </si>
  <si>
    <t>1002(1a)</t>
  </si>
  <si>
    <t>Cold worked deformed high yield steel bars of Grade 460 in  bottom slabs &amp; drop wall of box bridg</t>
  </si>
  <si>
    <t>M.T.</t>
  </si>
  <si>
    <t>1002(1b)</t>
  </si>
  <si>
    <t>Cold worked deformed high yield steel bars of Grade 460 in  side walls, wingwalls, corbbel for approach slab.</t>
  </si>
  <si>
    <t>1002(1c)</t>
  </si>
  <si>
    <t>Hot rolled mild steel bars of Grade 250 in bearing pads and approach slabs.</t>
  </si>
  <si>
    <t>Weep Holes</t>
  </si>
  <si>
    <t>Forming weep holes in abutments &amp; wingwalls using 110mm dia. P.V.C. pipes and finished smooth with dripledge and surround complete as per drawing.</t>
  </si>
  <si>
    <t>L.m.</t>
  </si>
  <si>
    <t>Drainage Backfill Material</t>
  </si>
  <si>
    <t>50-200mm. dry stone lining behind abutment &amp; wingwalls as per drawing.</t>
  </si>
  <si>
    <t>75mm. thick 40mm. stone filter layer behind dry stone lining as per drawing.</t>
  </si>
  <si>
    <t>Clay puddled &amp; laid behind abutments &amp; wingwalls to form the impervious layer as per drawing.</t>
  </si>
  <si>
    <t>C.  SUPER STRUCTURE</t>
  </si>
  <si>
    <t xml:space="preserve"> Class A Grade 30(20) concrete in top slab of box bridge</t>
  </si>
  <si>
    <t>Class A concrete of Grade 25(20) in footwalks and footwalk ramps</t>
  </si>
  <si>
    <t>Form work</t>
  </si>
  <si>
    <t>Smooth finish formwork for top slab concrete of box bridge</t>
  </si>
  <si>
    <t>1008(1b)</t>
  </si>
  <si>
    <t>Smooth finish formwork on sides for foot walk concreting</t>
  </si>
  <si>
    <t>Hot rolled mild steel bars of Grade 250 in top slab of box bridge</t>
  </si>
  <si>
    <t>Cold worked deformed high yield steel bars Grade 460 in foot walks.</t>
  </si>
  <si>
    <t>Railings</t>
  </si>
  <si>
    <t>1018(1)</t>
  </si>
  <si>
    <t>Precast reinforced concrete railing &amp; uprights in Class A Grade 25(20) concrete inclusive of light reinforcement &amp; mould as per drawing No. T/B/102 A &amp; B.</t>
  </si>
  <si>
    <t>1019(1)</t>
  </si>
  <si>
    <t>End pillasters in Class A concrete of Grade 25(20) with foundation type II as per drawing No. T/B/513</t>
  </si>
  <si>
    <t>Nos.</t>
  </si>
  <si>
    <t>Guard Stones</t>
  </si>
  <si>
    <t>808(5)</t>
  </si>
  <si>
    <t>Precast Concrete guard stones supplied and fixed as per Drawing.</t>
  </si>
  <si>
    <t>Nos</t>
  </si>
  <si>
    <t>Concrete Kerbs</t>
  </si>
  <si>
    <t xml:space="preserve"> 807(1)</t>
  </si>
  <si>
    <t>Precast kerb in Class B Grade 25(20) concrete with light reinforcement &amp; mould as per drawing No. T/B/512</t>
  </si>
  <si>
    <t xml:space="preserve"> 807(4)</t>
  </si>
  <si>
    <t>Lower kerbs in Class B    Grade 20(14) concrete cast insitu as per drawing.</t>
  </si>
  <si>
    <t>Bridge Bearings</t>
  </si>
  <si>
    <t>1010(2)</t>
  </si>
  <si>
    <t>75x12mm. hard rubber bearing pads supplied &amp; laid over corbel for approach slab  as per drawing.</t>
  </si>
  <si>
    <t xml:space="preserve">Miscellaneous </t>
  </si>
  <si>
    <t>1012(1)</t>
  </si>
  <si>
    <t>20mm Dia. 200mm long stainless steel dowels supplied fixed and grouted for the approach slab as per drawing.</t>
  </si>
  <si>
    <t>1011(1a)</t>
  </si>
  <si>
    <t>20mm. Dia. 1800mm long hot rolled mild steel dowels driven into bed rock for abutment and wingwalls supplied fixed and grouted as per drawings</t>
  </si>
  <si>
    <t>1014(1)</t>
  </si>
  <si>
    <t>Bituminous sealing felt under approach slabs at capping beam ends to prevent bitumen running on capping beam as per drawing.</t>
  </si>
  <si>
    <t>1016(1d)</t>
  </si>
  <si>
    <t>Service duct of size 350x200mm. formed in deck as per drawing.</t>
  </si>
  <si>
    <t>1017(1)</t>
  </si>
  <si>
    <t>500x450x75mm. thick paving slabs in Class B Grade 25(20) concrete inclusive of light reinforcement and smooth shuttering provided as per drawing.</t>
  </si>
  <si>
    <t>806(4)</t>
  </si>
  <si>
    <t>450x450x50mm. thick paving slabs in Class B Grade 25(20) concrete inclusive of light reinforcement and smooth shuttering provided as per drawing.</t>
  </si>
  <si>
    <t>1020(1a)</t>
  </si>
  <si>
    <t>110mm. dia. P.V.C. rain water outlets supplied and fixed through deck as per drawing.</t>
  </si>
  <si>
    <t>1020(1c)</t>
  </si>
  <si>
    <t>50mm. dia. P.V.C. drain pipes supplied and fixed through deck as per drawing.</t>
  </si>
  <si>
    <t>RECONSTRUCTION/WIDENING OF BRIDGE              No. 116/5</t>
  </si>
  <si>
    <t>B.  FOUNDATION  &amp;  SUBSTRUCTURE</t>
  </si>
  <si>
    <t>Class A concrete of Grade  30 (20) in foundation slab of abutment and wing wall.</t>
  </si>
  <si>
    <t>Class A concrete of Grade  30 (20) in abutment and wing walls</t>
  </si>
  <si>
    <t>1001(1d)</t>
  </si>
  <si>
    <t>Class A concrete of Grade  30 (20) in capping beam, ballast wall, curtain walls and bearing pads</t>
  </si>
  <si>
    <t>Rough finish formwork for foundation slabs of abutment and wing walls</t>
  </si>
  <si>
    <t>Smooth finish formwork for abutment and wingwalls</t>
  </si>
  <si>
    <t>Smooth finish formwork for abutment capping beams, ballast walls, curtain walls, bearing pads and approach slabsand wingwalls</t>
  </si>
  <si>
    <t>Cold worked deformed high yield steel bars of Grade 460 in  foundation slabs of abutment and wing walls</t>
  </si>
  <si>
    <t>Cold worked deformed high yield steel bars of Grade 460 in  abutments and  wingwalls</t>
  </si>
  <si>
    <t>Hot rolled mild steel bars of Grade 250 in bearing pads corbel and approach slabs.</t>
  </si>
  <si>
    <t>1002(1d)</t>
  </si>
  <si>
    <t>Cold worked deformed high yield steel bars of Grade 460 in  abutment capping beams, curtain walls, ballast walls, bearing pads, corbel and approach slabs</t>
  </si>
  <si>
    <t>Infiller concrete of Class A Grade 40(20) between beams in bridge deck inclusive of end make up, screed and camber.</t>
  </si>
  <si>
    <t>Smooth finish formwork on sides for deck and foot walk concreting</t>
  </si>
  <si>
    <t>Hot rolled mild steel bars of Grade 250 intie rods of deck</t>
  </si>
  <si>
    <t>Cold worked deformed high yield steel bars Grade 460 in deck and foot walks.</t>
  </si>
  <si>
    <t>Prestressed Concrete</t>
  </si>
  <si>
    <t>1003(1)</t>
  </si>
  <si>
    <t>Pre-tensioned precast concrete beams of cast length 16.5 m supplied as per drawing No. T/B/501A</t>
  </si>
  <si>
    <t>1003(2)</t>
  </si>
  <si>
    <t>16.5m long Pre-tensioned precast concrete beams launched into position as per drawing.</t>
  </si>
  <si>
    <t>Expansion joints</t>
  </si>
  <si>
    <t>1009(1)</t>
  </si>
  <si>
    <t>Supplying and fixing of mild steel angle iron &amp; hard rubber expansion joint as per drawing No. T/B/107 Rev.1</t>
  </si>
  <si>
    <t>75x12mm. hard rubber bearing pads supplied &amp; laid over capping beam and corbel for deck and approach slab  as per drawing.</t>
  </si>
  <si>
    <t>20mm Dia. 200mm long stainless steel dowels supplied fixed and grouted at fixed ends as per drawing.</t>
  </si>
  <si>
    <t>20mm. Dia.1800mm long hot rolled mild steel dowels driven into bed rock for abutment and wingwalls supplied fixed and grouted as per drawings</t>
  </si>
  <si>
    <t>1011(1b)</t>
  </si>
  <si>
    <t>Service duct of size 350x230mm. formed in deck as per drawing.</t>
  </si>
  <si>
    <t>1017(1a)</t>
  </si>
  <si>
    <t>1017(1b)</t>
  </si>
  <si>
    <t>500x450x100m. thick paving slabs in Class B Grade 25(20) concrete inclusive of light reinforcement and smooth shuttering provided as per drawing.</t>
  </si>
  <si>
    <t>806(4b)</t>
  </si>
  <si>
    <t>450x450x100mm. thick paving slabs in Class B Grade 25(20) concrete inclusive of light reinforcement and smooth shuttering provided as per drawing.</t>
  </si>
  <si>
    <t>25mm Dia. 200mm long stainless steel dowels supplied fixed and grouted at fixed for approach slabs as per drawing</t>
  </si>
  <si>
    <t>Laying &amp; joining of pipes-600 mm diameter</t>
  </si>
  <si>
    <t>Laying &amp; joining of pipes-900 mm diameter</t>
  </si>
  <si>
    <t>Laying &amp; joining of pipes-1200 mm diameter</t>
  </si>
  <si>
    <t xml:space="preserve"> BILL No.7 : INCIDENTAL CONSTRUCTION</t>
  </si>
  <si>
    <t>PAVED SIDE WALKS AND PRECAST CONCRETE KERBS</t>
  </si>
  <si>
    <t>806(a)</t>
  </si>
  <si>
    <t>Supplying and paving of concrete paving blocks including preparation of Base layer and spreading and compaction of 50mm thick bed course material</t>
  </si>
  <si>
    <t>807(1)</t>
  </si>
  <si>
    <t xml:space="preserve">Standard kerb </t>
  </si>
  <si>
    <t>807(2)</t>
  </si>
  <si>
    <t xml:space="preserve">Flat/Edge kerb </t>
  </si>
  <si>
    <t>807(3)</t>
  </si>
  <si>
    <t>Drop kerb</t>
  </si>
  <si>
    <t>GUARD RAILS AND GUARD STONES</t>
  </si>
  <si>
    <t>Guard stones</t>
  </si>
  <si>
    <t>No</t>
  </si>
  <si>
    <t>808(1)</t>
  </si>
  <si>
    <t>Guard rails (W - beam, galvanized steel)</t>
  </si>
  <si>
    <t>809(3) a</t>
  </si>
  <si>
    <t>Supply and fixing of Pedestrian hand rails as per Drawing (S Type)</t>
  </si>
  <si>
    <t>m</t>
  </si>
  <si>
    <t>809(3) b</t>
  </si>
  <si>
    <t>Supply and fixing of Pedestrian hand rails as per Drawing (P Type)</t>
  </si>
  <si>
    <t>ROAD MARKINGS</t>
  </si>
  <si>
    <t xml:space="preserve">810(1a) </t>
  </si>
  <si>
    <t>Center line : Continuous</t>
  </si>
  <si>
    <t>810(1b)</t>
  </si>
  <si>
    <t xml:space="preserve">Center line : Intermittent </t>
  </si>
  <si>
    <t xml:space="preserve">810(1c) </t>
  </si>
  <si>
    <t>Edge line : Continuous</t>
  </si>
  <si>
    <t xml:space="preserve">810(1d) </t>
  </si>
  <si>
    <t>Pedestrian crossing</t>
  </si>
  <si>
    <t>810(3)</t>
  </si>
  <si>
    <t>Reflecting road studs</t>
  </si>
  <si>
    <t>TRAFFIC SIGNS</t>
  </si>
  <si>
    <t>811(1)</t>
  </si>
  <si>
    <t>811(2a)</t>
  </si>
  <si>
    <t>811(2b)</t>
  </si>
  <si>
    <t>811(3)</t>
  </si>
  <si>
    <t>Chevron warning sign</t>
  </si>
  <si>
    <t>811(4)</t>
  </si>
  <si>
    <t>KERB INLETS</t>
  </si>
  <si>
    <t>817(1)</t>
  </si>
  <si>
    <t>Provide kerb inlets</t>
  </si>
  <si>
    <t>TRENCH EXCAVATION</t>
  </si>
  <si>
    <t>815(1)</t>
  </si>
  <si>
    <t>Trench excavation and reinstatements for utility installation</t>
  </si>
  <si>
    <t>lm</t>
  </si>
  <si>
    <t xml:space="preserve">Single pole, sign area up to 0.5m2 </t>
  </si>
  <si>
    <t>Double pole, sign area up to 1.0m2</t>
  </si>
  <si>
    <t>Double pole, sign area up to 2.0m2</t>
  </si>
  <si>
    <t>Single pole, multiple sign area up to 1.0 m2</t>
  </si>
  <si>
    <t>KILOMETRE POST AND BOUNDARY MARKERS</t>
  </si>
  <si>
    <t>819(1a)</t>
  </si>
  <si>
    <t>Provide, install and paint new kilometre post</t>
  </si>
  <si>
    <t>819(1b)</t>
  </si>
  <si>
    <t>Provide, install and paint new Boundary marker</t>
  </si>
  <si>
    <t>SOIL NAILING &amp; HORIZONTAL DRAINS AND ROCK BOLTS</t>
  </si>
  <si>
    <t xml:space="preserve">820.1(2)a </t>
  </si>
  <si>
    <t xml:space="preserve">Soil nails (more than 12m length) inserted into bore hole with grouting and coupling (32mm dia nail and125mm dia hole ). </t>
  </si>
  <si>
    <t xml:space="preserve">820.1(2)b </t>
  </si>
  <si>
    <t xml:space="preserve">Soil nails (less than  or equal 12m length) inserted into bore hole with grouting and coupling (32mm dia nail and125mm dia hole ). </t>
  </si>
  <si>
    <t xml:space="preserve">820.1(4)a </t>
  </si>
  <si>
    <t xml:space="preserve">Coated Metallic Mesh for Grid Beam method including connecting clips and 16mm dia. 1m length hot dipped galvanized dowels, and other necessary accessories </t>
  </si>
  <si>
    <t xml:space="preserve">820.1(5) </t>
  </si>
  <si>
    <t xml:space="preserve">Coir mesh </t>
  </si>
  <si>
    <t xml:space="preserve">820.1(6) </t>
  </si>
  <si>
    <t xml:space="preserve">Concrete C30/20 boundary beams(250mm*250mm) including slope preparation, excavation, formwork, R/F and other necessary accessories </t>
  </si>
  <si>
    <t xml:space="preserve">820.1(7) </t>
  </si>
  <si>
    <t>Concrete C30/20 grid beams (250mm*250mm) with nail heads including slope preparation, excavation, formwork, RF and other necessary accessories</t>
  </si>
  <si>
    <t xml:space="preserve">820.1(8) </t>
  </si>
  <si>
    <t xml:space="preserve">Shotcreting (wet mix -150mm thick) with concrete Grade 30 </t>
  </si>
  <si>
    <t xml:space="preserve">820.1(9) </t>
  </si>
  <si>
    <t xml:space="preserve">Nail heads connecting beams 100mm*150mmwith nail heads in shotcrete face </t>
  </si>
  <si>
    <t xml:space="preserve">820.1(10) </t>
  </si>
  <si>
    <t xml:space="preserve">Pull-Out test for test nails and working nails </t>
  </si>
  <si>
    <t>820.2(2)a</t>
  </si>
  <si>
    <t xml:space="preserve">Type 02 - Horizontal drains of perforated PVC pipe(75mm dia) with filter fabric     </t>
  </si>
  <si>
    <t>820.2(2)b</t>
  </si>
  <si>
    <t xml:space="preserve">Type 02 - Horizontal drains of perforated PVC pipe(90mm dia) with filter fabric    </t>
  </si>
  <si>
    <t>Planting/Seeding/Turfing on slope stabilized surface</t>
  </si>
  <si>
    <t>803(1)</t>
  </si>
  <si>
    <t>Plants from nursery, supplied planted , natured and maintained, during the establishment period</t>
  </si>
  <si>
    <t>821(1)</t>
  </si>
  <si>
    <t>Drilling for rock bolt in soil or soft rock</t>
  </si>
  <si>
    <t>821(2)</t>
  </si>
  <si>
    <t>Drilling for rock bolt in rock</t>
  </si>
  <si>
    <t>821(3)</t>
  </si>
  <si>
    <t>Rock bolt</t>
  </si>
  <si>
    <t>821(4)</t>
  </si>
  <si>
    <t>Head Treatment with Cap</t>
  </si>
  <si>
    <t>821(5)</t>
  </si>
  <si>
    <t>Head Treatment without Cap</t>
  </si>
  <si>
    <t>821(6)</t>
  </si>
  <si>
    <t>Concrete Bearing Plates</t>
  </si>
  <si>
    <t>821(7)</t>
  </si>
  <si>
    <t>Pull-out Tests for rock bolts</t>
  </si>
  <si>
    <t>LABOUR DAY WORKS</t>
  </si>
  <si>
    <t>Surveyor</t>
  </si>
  <si>
    <t>hr</t>
  </si>
  <si>
    <t xml:space="preserve">Survey Assistant (skilled) </t>
  </si>
  <si>
    <t>Laboratory Technician (skilled)</t>
  </si>
  <si>
    <t>CAD Operator</t>
  </si>
  <si>
    <t>Draughtsman</t>
  </si>
  <si>
    <t>Foreman</t>
  </si>
  <si>
    <t>Operator, Heavy equipment</t>
  </si>
  <si>
    <t>Operator, Light equipment</t>
  </si>
  <si>
    <t>Driver, Heavy duty vehicle</t>
  </si>
  <si>
    <t>Driver, Light duty vehicle</t>
  </si>
  <si>
    <t>Mechanic</t>
  </si>
  <si>
    <t>Welder</t>
  </si>
  <si>
    <t>Electrician</t>
  </si>
  <si>
    <t>Carpenter</t>
  </si>
  <si>
    <t>Mason</t>
  </si>
  <si>
    <t>Steel Fixer</t>
  </si>
  <si>
    <t>Semi-skilled workman</t>
  </si>
  <si>
    <t>Unskilled workman (labour)</t>
  </si>
  <si>
    <t xml:space="preserve"> BILL No.8 : SCHEDULE OF DAY WORKS RATES</t>
  </si>
  <si>
    <t>EQUIPMENT DAY WORKS</t>
  </si>
  <si>
    <t>Bill No. 6 Carried to Summary</t>
  </si>
  <si>
    <t>Total Carried Forward</t>
  </si>
  <si>
    <t>Total Brought Forward</t>
  </si>
  <si>
    <t>Bill No. 7 Carried to Summary</t>
  </si>
  <si>
    <t>Bill No. 8.1 Carried to Summary</t>
  </si>
  <si>
    <t>Motor car, diesel, above 2,000 cc</t>
  </si>
  <si>
    <t>Double cabin Pickup 4WD, diesel, above 2,000 cc</t>
  </si>
  <si>
    <t>Lorry, 3 to 5 tones</t>
  </si>
  <si>
    <t>Lorry, 5 to 10 tones</t>
  </si>
  <si>
    <t>Low-loader, 20 to 40 tones</t>
  </si>
  <si>
    <t>Site dumper, over 1.0 m3</t>
  </si>
  <si>
    <t>Tipper truck, up to 5 tones</t>
  </si>
  <si>
    <t>Tipper truck, 5 to 10 tones</t>
  </si>
  <si>
    <t>Tipper truck, 10 to 15 tones</t>
  </si>
  <si>
    <t>Bowser, water, up to 6,000 liters with Spray Bar</t>
  </si>
  <si>
    <t>Bowser, water, 6,000 to 10,000 liters with Spray Bar</t>
  </si>
  <si>
    <t>Bowser, diesel, up to 6,000 liters</t>
  </si>
  <si>
    <t>Bowser, diesel,  6,000 to 10,000 liters</t>
  </si>
  <si>
    <t>Bowser, bitumen, up to 10,000 liters</t>
  </si>
  <si>
    <t>Bowser, bitumen, over 10,000 liters</t>
  </si>
  <si>
    <t>Bitumen distributor, up to 4,500 liters</t>
  </si>
  <si>
    <t>Bitumen distributor, over 4,500 liters</t>
  </si>
  <si>
    <t>Bitumen hand sprayer</t>
  </si>
  <si>
    <t>Farm Tractor &amp; Broom over 2m width</t>
  </si>
  <si>
    <t>Farm tractor, with trailer minimum 3 tone</t>
  </si>
  <si>
    <t>Bulldozer, wheeled or Tracked up to 100 HP</t>
  </si>
  <si>
    <t>Bulldozer, wheeled or Tracked 100 to 200 HP</t>
  </si>
  <si>
    <t>Bulldozer, wheeled or Tracked 200 to 300 HP</t>
  </si>
  <si>
    <t>Backhoe, wheeled, 50 - 100 HP</t>
  </si>
  <si>
    <t>Backhoe, wheeled, 100 - 200 HP</t>
  </si>
  <si>
    <t>Backhoe, tracked, 50 - 100 HP</t>
  </si>
  <si>
    <t>Backhoe, tracked, 100 - 200 HP</t>
  </si>
  <si>
    <t>Front-end Loader, Tracked or wheeled, 50 to 100 HP</t>
  </si>
  <si>
    <t>Front-end Loader, wheeled, 100 to 200 HP</t>
  </si>
  <si>
    <t>Motor grader, up to 100 HP</t>
  </si>
  <si>
    <t>Motor grader, 100 to 150 HP</t>
  </si>
  <si>
    <t>Steel-wheeled roller, static, 8 to 12 tones</t>
  </si>
  <si>
    <t>Steel-wheeled roller, vibratory, 4 to 8 tones</t>
  </si>
  <si>
    <t>Steel-wheeled roller, vibratory, 10 tones</t>
  </si>
  <si>
    <t>Pneumatic-tired roller, 8 to 12 tones</t>
  </si>
  <si>
    <t>Tandem roller, 6 to 8 tones, Vibrating</t>
  </si>
  <si>
    <t>Hand roller, vibratory, 1/2 - 1 tone</t>
  </si>
  <si>
    <t>Plate compactor, vibratory, over 90 kg</t>
  </si>
  <si>
    <t>Rammer, mechanical, over 60 kg</t>
  </si>
  <si>
    <t>Mobile Crane over 15 tones</t>
  </si>
  <si>
    <t>Asphalt mixing plant, over 60 tones/hr</t>
  </si>
  <si>
    <t>Crushing and screening plant, over 80 tones/hr</t>
  </si>
  <si>
    <t>Asphalt paver, wheeled or Tracked 60 tones/hr</t>
  </si>
  <si>
    <t>Asphalt paver, wheeled or Tracked over 80 tones/hr</t>
  </si>
  <si>
    <t>Chip spreader, self-propelled</t>
  </si>
  <si>
    <t>Drilling rig, crawler, over 75 mm diameter bit</t>
  </si>
  <si>
    <t>Rock drill, hand-held</t>
  </si>
  <si>
    <t xml:space="preserve">Air compressor with hoses and tools, 250 to 600 cfm </t>
  </si>
  <si>
    <t>Water pump with hoses, 50 to 100 mm outlet</t>
  </si>
  <si>
    <t>Concrete mixer, 0.25 to 0.50 cu.m.</t>
  </si>
  <si>
    <t>Concrete mixer, over 0.50 cu.m.</t>
  </si>
  <si>
    <t>Generator, 10 to 50 KVA</t>
  </si>
  <si>
    <t>Welding set, electric, 300 - 400 amp</t>
  </si>
  <si>
    <t>Poker Vibrator, petrol driven</t>
  </si>
  <si>
    <t>MATERIAL DAY WORKS</t>
  </si>
  <si>
    <t>Aggregate base, dense graded (37.5 mm)</t>
  </si>
  <si>
    <t>Aggregate, 6 mm (crusher fines)</t>
  </si>
  <si>
    <t>Aggregate, 12 mm</t>
  </si>
  <si>
    <t>Aggregate, 20 mm</t>
  </si>
  <si>
    <t>Aggregate, 25 mm</t>
  </si>
  <si>
    <t>Aggregate, 37.5 mm</t>
  </si>
  <si>
    <t>Asphalt concrete, cold mix</t>
  </si>
  <si>
    <t>mt</t>
  </si>
  <si>
    <t>Asphalt concrete, hot mix</t>
  </si>
  <si>
    <t>Bitumen emulsions, ( CRS 1, CRS 2, CSS 1)</t>
  </si>
  <si>
    <t>ltr</t>
  </si>
  <si>
    <t>Bitumen prime coat, cutback MC 30</t>
  </si>
  <si>
    <t>Bitumen, straight run, 60/70 penetration</t>
  </si>
  <si>
    <t>Bitumen, straight run, 80/100 penetration</t>
  </si>
  <si>
    <t>Block, cement, 400 x 200 x 100 mm</t>
  </si>
  <si>
    <t>Brick, hand-cut</t>
  </si>
  <si>
    <t>Cement, ordinary Portland</t>
  </si>
  <si>
    <t>Concrete pipe, reinforced 600 mm diameter - NP2</t>
  </si>
  <si>
    <t>Concrete pipe, reinforced 900 mm diameter - NP2</t>
  </si>
  <si>
    <t>Concrete pipe, reinforced 1,200 mm diameter - NP2</t>
  </si>
  <si>
    <t>Concrete, Grade 15/20</t>
  </si>
  <si>
    <t>Concrete, Grade 20/20</t>
  </si>
  <si>
    <t>Concrete, Grade 25/20</t>
  </si>
  <si>
    <t>Concrete, Grade 30/20</t>
  </si>
  <si>
    <t>Concrete, Grade 40/20</t>
  </si>
  <si>
    <t>Formwork, steel</t>
  </si>
  <si>
    <t>Formwork, timber (smooth)</t>
  </si>
  <si>
    <t>Paint, emulsion</t>
  </si>
  <si>
    <t>Paint, enamel</t>
  </si>
  <si>
    <t>Pipe, PVC, 160 mm diameter (Type 600)</t>
  </si>
  <si>
    <t>Lime</t>
  </si>
  <si>
    <t>kg</t>
  </si>
  <si>
    <t>Reinforcement, high-yield steel, Grade 460/425</t>
  </si>
  <si>
    <t>Reinforcement, mild steel, Grade 250</t>
  </si>
  <si>
    <t>Rubble, 100 - 150 mm</t>
  </si>
  <si>
    <t>Rubble, 150 - 225 mm</t>
  </si>
  <si>
    <t>River Sand</t>
  </si>
  <si>
    <t>Reflective, thermoplastic road paint</t>
  </si>
  <si>
    <t>Timber, Class 2, Sri Lanka Timber Corporation</t>
  </si>
  <si>
    <t>Auto diesel</t>
  </si>
  <si>
    <t>Petrol</t>
  </si>
  <si>
    <t>kerosene Oil</t>
  </si>
  <si>
    <t>Bill No. 8.2 Carried to Summary</t>
  </si>
  <si>
    <t>Bill No. 8.3 Carried to Summary</t>
  </si>
  <si>
    <t xml:space="preserve">Percentage mark up applicable to materials in Bill No. 8.3                                  </t>
  </si>
  <si>
    <t>Materials Sub Total</t>
  </si>
  <si>
    <t xml:space="preserve"> BILL No.9 : PROVISIONAL SUMS</t>
  </si>
  <si>
    <t>HIV AIDS PREVENTION</t>
  </si>
  <si>
    <t>111(1)</t>
  </si>
  <si>
    <t xml:space="preserve">Preparation and Implementation of HIV-AIDS
Prevention Program
</t>
  </si>
  <si>
    <t>PS</t>
  </si>
  <si>
    <t>Allow</t>
  </si>
  <si>
    <t>SERVICES</t>
  </si>
  <si>
    <t>112(1)</t>
  </si>
  <si>
    <t>Demolition / Rebuilding of Property</t>
  </si>
  <si>
    <t>MONITORING, CONTROLLING ENVIRONMENT HAZARDOUS ACTIVITIES AND TAKING REMEDIAL MEASURE</t>
  </si>
  <si>
    <t>120(2)</t>
  </si>
  <si>
    <t xml:space="preserve">Construction of Fish Pass, Velocity Breakers, Rain
 Water Infiltration Holes and Canopy Bridges as
 given in the Environmental Management and Monitoring Plan 
</t>
  </si>
  <si>
    <t>REMOVAL AND REBUILDING EXISTING STRUCTURES</t>
  </si>
  <si>
    <t>202(6a)</t>
  </si>
  <si>
    <t>Allow for demolishing of culverts, dressed stone structures, fences etc. and removal of obstructions and objectionable materials in preparing right of way and rebuilding of parapet walls, fence, gates or any part of permanent building to the prevailed condition.</t>
  </si>
  <si>
    <t>UTILITIES RELOCATION</t>
  </si>
  <si>
    <t>203(1)</t>
  </si>
  <si>
    <t>Diversion, Protection or Removal of Electrical services</t>
  </si>
  <si>
    <t>203(2)</t>
  </si>
  <si>
    <t>Diversion, Protection or Removal of Water services</t>
  </si>
  <si>
    <t>203(3)</t>
  </si>
  <si>
    <t>Diversion, Protection or Removal of Telecommunication services</t>
  </si>
  <si>
    <t>SOIL NAILING AND HORIZONTAL DRAINS AND ROCK BOLTS</t>
  </si>
  <si>
    <t>820.1(1)</t>
  </si>
  <si>
    <t>Temporary working platform for soil nailing  and rock bolts works</t>
  </si>
  <si>
    <t>MANHOLES, CATCHPITS AND INLETS</t>
  </si>
  <si>
    <t>703(5)</t>
  </si>
  <si>
    <t>Grade adjustment of existing manholes</t>
  </si>
  <si>
    <t>HOUSING FOR THE EMPLOYER</t>
  </si>
  <si>
    <t>124(3)</t>
  </si>
  <si>
    <t xml:space="preserve">Provide Housing, Type 3 </t>
  </si>
  <si>
    <t>ENGINEER'S CERTIFICATE NO. 01</t>
  </si>
  <si>
    <t>Project Name</t>
  </si>
  <si>
    <t>Statement No</t>
  </si>
  <si>
    <t>Valuation Period Ending</t>
  </si>
  <si>
    <t>Contract No:</t>
  </si>
  <si>
    <t>Submission Date</t>
  </si>
  <si>
    <t xml:space="preserve">: </t>
  </si>
  <si>
    <t>Employer</t>
  </si>
  <si>
    <t>: Road Development Authority</t>
  </si>
  <si>
    <r>
      <rPr>
        <b/>
        <sz val="10"/>
        <rFont val="Times New Roman"/>
        <family val="1"/>
      </rPr>
      <t>Commencement Date</t>
    </r>
    <r>
      <rPr>
        <sz val="10"/>
        <rFont val="Times New Roman"/>
        <family val="1"/>
      </rPr>
      <t xml:space="preserve"> </t>
    </r>
  </si>
  <si>
    <t>Engineer</t>
  </si>
  <si>
    <t xml:space="preserve">Contract Price  </t>
  </si>
  <si>
    <t>Contractor</t>
  </si>
  <si>
    <t>Minimum Amount of IPC</t>
  </si>
  <si>
    <t>Payment A/C No.</t>
  </si>
  <si>
    <r>
      <rPr>
        <b/>
        <sz val="10"/>
        <rFont val="Times New Roman"/>
        <family val="1"/>
      </rPr>
      <t>Limit of Retention</t>
    </r>
    <r>
      <rPr>
        <sz val="10"/>
        <rFont val="Times New Roman"/>
        <family val="1"/>
      </rPr>
      <t xml:space="preserve">   </t>
    </r>
  </si>
  <si>
    <r>
      <t xml:space="preserve">1. Amount of Advance Payment paid to the Contractor </t>
    </r>
    <r>
      <rPr>
        <b/>
        <sz val="11"/>
        <rFont val="Times New Roman"/>
        <family val="1"/>
      </rPr>
      <t>(Clause 14.2 of PCC )</t>
    </r>
  </si>
  <si>
    <r>
      <t>2. Value of Works executed and all other matters payable</t>
    </r>
    <r>
      <rPr>
        <sz val="11"/>
        <color rgb="FFC00000"/>
        <rFont val="Times New Roman"/>
        <family val="1"/>
      </rPr>
      <t xml:space="preserve"> </t>
    </r>
    <r>
      <rPr>
        <sz val="11"/>
        <rFont val="Times New Roman"/>
        <family val="1"/>
      </rPr>
      <t>(Sub Clause 14.3(a) &amp; (f) GCC</t>
    </r>
  </si>
  <si>
    <t xml:space="preserve">    and Sub Clause 13.7 -GCC but not including Item 3 and 7 below.</t>
  </si>
  <si>
    <t xml:space="preserve">3. ADD/DEDUCT Contract Price Fluctuation </t>
  </si>
  <si>
    <t>(Clause 13.8 of PCC)</t>
  </si>
  <si>
    <t>4. Value of Works after Contract Price Fluctuation [2+3]</t>
  </si>
  <si>
    <t xml:space="preserve">  </t>
  </si>
  <si>
    <t>5. DEDUCT Retention Money @ 10%  (Sub Clause 14.2(d) PCC[ Limit : 5% of Contract Price])</t>
  </si>
  <si>
    <t>6. NET Valuation [4-5]</t>
  </si>
  <si>
    <t>7. ADD 80% of Materials on Site  [Sub Clause14.5(c)(1) GCC ]</t>
  </si>
  <si>
    <t>8. Gross Valuation [6+7]</t>
  </si>
  <si>
    <t>9. DEDUCT Cumulative Gross Value of Paid previous Interim Certificate 14.3(g)-GCC</t>
  </si>
  <si>
    <t>10. Gross Amount of this Interim Certificate [8-9]</t>
  </si>
  <si>
    <t>11. Release of  Retention Money  [Sub Clause (14.9)]</t>
  </si>
  <si>
    <t>12. DEDUCT Recovery of Advance Payment  [Sub Clause 14.2(d) PCC]</t>
  </si>
  <si>
    <t xml:space="preserve">13. NET AMOUNT of this Interim Certificate after release of </t>
  </si>
  <si>
    <t xml:space="preserve">      Retention money and recovery of advance payment [10+11-12]</t>
  </si>
  <si>
    <t>14. Value Added Tax [15%]</t>
  </si>
  <si>
    <t>15. AMOUNT FOR PAYMENT FOR THIS CERTIFICATE [13 + 14]</t>
  </si>
  <si>
    <t>16. Previous cumulative recovery of Advance payment</t>
  </si>
  <si>
    <t>17. Recovery  of Advance payment from this IPC</t>
  </si>
  <si>
    <t>18. Balance of Advance Payment to be recovered [1-(16+17)]</t>
  </si>
  <si>
    <t>Value Added Tax 15% (For the Contract Amount) and 0% (For the Contract Price) of Sub Total 03</t>
  </si>
  <si>
    <t xml:space="preserve">: REHABILITATION OF THE A-017 ROAD </t>
  </si>
  <si>
    <t xml:space="preserve">  CORRIDOR PROJECT (SURIYAKANDA - RAKWANA)</t>
  </si>
  <si>
    <t xml:space="preserve">  SECTION FROM CH. 112+600 KM TO CH. 118+600 KM</t>
  </si>
  <si>
    <t>: RDA/MFAP/ICB/OFID-04(A)</t>
  </si>
  <si>
    <t>: Consulting Engineers &amp; Contractors (Pvt) Ltd.</t>
  </si>
  <si>
    <t>CONTRACTOR's INTERIM PAYMENT APPLICATION</t>
  </si>
  <si>
    <t>: Rs. 1,825,518,210.94</t>
  </si>
  <si>
    <t>: Rs. 91,275,910.55</t>
  </si>
  <si>
    <t>PRICE FLUCTUATION.</t>
  </si>
  <si>
    <t xml:space="preserve">                 100                                            Ixb</t>
  </si>
  <si>
    <t xml:space="preserve">     </t>
  </si>
  <si>
    <t>All inputs Where:</t>
  </si>
  <si>
    <t>F = Price adjustment for the period concerned</t>
  </si>
  <si>
    <t>V = Current Valuation of workdone for the Period.</t>
  </si>
  <si>
    <t>V na = Value of non Adjustable element. Or value of work not considered for price variation.</t>
  </si>
  <si>
    <t>Px    = Input percentage of input named X</t>
  </si>
  <si>
    <t>l xc   = Currenet indices of input X</t>
  </si>
  <si>
    <t>lxb    = Base indices of input X</t>
  </si>
  <si>
    <t>Amount   (SLR)</t>
  </si>
  <si>
    <t xml:space="preserve">Work Done Bill 1 - 9  + Variation Claims                                                 </t>
  </si>
  <si>
    <t>Less</t>
  </si>
  <si>
    <t>Bill 1 - Preliminary &amp; General.</t>
  </si>
  <si>
    <t>Provisional Sums (Non Adjustable).</t>
  </si>
  <si>
    <t xml:space="preserve">Extra Work &amp; Variation on the Prices Prevailing </t>
  </si>
  <si>
    <t>Day Works</t>
  </si>
  <si>
    <t>Total Non Adjustable</t>
  </si>
  <si>
    <t>Price Adjustment Factor Sub clause( 13.8 PCC &amp; Ap.to.Ten.)</t>
  </si>
  <si>
    <t>Ref</t>
  </si>
  <si>
    <t>Input</t>
  </si>
  <si>
    <t>Input   %               Px</t>
  </si>
  <si>
    <t>Indices</t>
  </si>
  <si>
    <t>Sum of All Inputs                                Px(Ixc-Ixb)/Ixb</t>
  </si>
  <si>
    <t>L1</t>
  </si>
  <si>
    <t>Skilled Labour</t>
  </si>
  <si>
    <t>L2</t>
  </si>
  <si>
    <t>L3</t>
  </si>
  <si>
    <t>M1</t>
  </si>
  <si>
    <t>Cement</t>
  </si>
  <si>
    <t>M7</t>
  </si>
  <si>
    <t xml:space="preserve">Metal </t>
  </si>
  <si>
    <t>M8</t>
  </si>
  <si>
    <t>Sand</t>
  </si>
  <si>
    <t>M13</t>
  </si>
  <si>
    <t>M30C</t>
  </si>
  <si>
    <t>Bitumen 60/70</t>
  </si>
  <si>
    <t>P1</t>
  </si>
  <si>
    <t>Small Equipment</t>
  </si>
  <si>
    <t>P2</t>
  </si>
  <si>
    <t>Heavy Equipment</t>
  </si>
  <si>
    <t>P3</t>
  </si>
  <si>
    <t>Fuel</t>
  </si>
  <si>
    <t>Sub Total</t>
  </si>
  <si>
    <t>Price Adjustment Factor</t>
  </si>
  <si>
    <t>Price Adjustment Amount in SLR Currency</t>
  </si>
  <si>
    <t>F  =</t>
  </si>
  <si>
    <t xml:space="preserve">                 100                                       Ixb</t>
  </si>
  <si>
    <t>=</t>
  </si>
  <si>
    <t>0.966 *</t>
  </si>
  <si>
    <t>*(</t>
  </si>
  <si>
    <t>)</t>
  </si>
  <si>
    <t>Adjustments To Date</t>
  </si>
  <si>
    <t>Value (Rs.)</t>
  </si>
  <si>
    <t>Period</t>
  </si>
  <si>
    <t>Total                         [A]</t>
  </si>
  <si>
    <t>Non-Adjustable     [B]</t>
  </si>
  <si>
    <t>Adjustable   [C=A-B]</t>
  </si>
  <si>
    <t>Factor                                 [D]</t>
  </si>
  <si>
    <t>Amount (Rs.)                                [F]</t>
  </si>
  <si>
    <t>Base Index       (Aug 2021)             Ixb</t>
  </si>
  <si>
    <t>M6</t>
  </si>
  <si>
    <t>Rubble</t>
  </si>
  <si>
    <t>Steel Reinforcement</t>
  </si>
  <si>
    <t>M21</t>
  </si>
  <si>
    <t>Timber</t>
  </si>
  <si>
    <t>M45</t>
  </si>
  <si>
    <t>Earth</t>
  </si>
  <si>
    <t>M48</t>
  </si>
  <si>
    <t>ABC</t>
  </si>
  <si>
    <t>S/SK Labour</t>
  </si>
  <si>
    <t>U/SK Labour</t>
  </si>
  <si>
    <t>Valuation</t>
  </si>
  <si>
    <r>
      <t xml:space="preserve">F  =  </t>
    </r>
    <r>
      <rPr>
        <u/>
        <sz val="10"/>
        <rFont val="Cambria"/>
        <family val="1"/>
        <scheme val="major"/>
      </rPr>
      <t>0.966 ( V - Vna )</t>
    </r>
    <r>
      <rPr>
        <sz val="10"/>
        <rFont val="Cambria"/>
        <family val="1"/>
        <scheme val="major"/>
      </rPr>
      <t xml:space="preserve">  * E all inputs Px </t>
    </r>
    <r>
      <rPr>
        <u/>
        <sz val="10"/>
        <rFont val="Cambria"/>
        <family val="1"/>
        <scheme val="major"/>
      </rPr>
      <t>( Ixc - Ixb )</t>
    </r>
  </si>
  <si>
    <r>
      <t xml:space="preserve">  </t>
    </r>
    <r>
      <rPr>
        <u/>
        <sz val="10"/>
        <rFont val="Cambria"/>
        <family val="1"/>
        <scheme val="major"/>
      </rPr>
      <t>0.966 ( V - Vna )</t>
    </r>
    <r>
      <rPr>
        <sz val="10"/>
        <rFont val="Cambria"/>
        <family val="1"/>
        <scheme val="major"/>
      </rPr>
      <t xml:space="preserve">   * E all inputs Px </t>
    </r>
    <r>
      <rPr>
        <u/>
        <sz val="10"/>
        <rFont val="Cambria"/>
        <family val="1"/>
        <scheme val="major"/>
      </rPr>
      <t>( Ixc - Ixb )</t>
    </r>
  </si>
  <si>
    <t>: 03</t>
  </si>
  <si>
    <t>01-12-2022 to 31-12-2022</t>
  </si>
  <si>
    <t>03</t>
  </si>
  <si>
    <t>Amount Subject to Price Adjustment for the Month of December 2022</t>
  </si>
  <si>
    <t>Current  Index                            (Dec  2022)                             Ixc</t>
  </si>
  <si>
    <t>Amount Subject to Price Adjustment  for the Month of December 2022</t>
  </si>
  <si>
    <r>
      <t>: 31</t>
    </r>
    <r>
      <rPr>
        <b/>
        <vertAlign val="superscript"/>
        <sz val="10"/>
        <rFont val="Times New Roman"/>
        <family val="1"/>
      </rPr>
      <t>st</t>
    </r>
    <r>
      <rPr>
        <b/>
        <sz val="10"/>
        <rFont val="Times New Roman"/>
        <family val="1"/>
      </rPr>
      <t xml:space="preserve"> December 2022</t>
    </r>
  </si>
  <si>
    <r>
      <t>: 10</t>
    </r>
    <r>
      <rPr>
        <b/>
        <vertAlign val="superscript"/>
        <sz val="10"/>
        <rFont val="Times New Roman"/>
        <family val="1"/>
      </rPr>
      <t>th</t>
    </r>
    <r>
      <rPr>
        <b/>
        <sz val="10"/>
        <rFont val="Times New Roman"/>
        <family val="1"/>
      </rPr>
      <t xml:space="preserve"> January 2022</t>
    </r>
  </si>
  <si>
    <t>: Rs. 54,765,546.33</t>
  </si>
  <si>
    <t>: 004100630000738</t>
  </si>
  <si>
    <r>
      <t>: 17</t>
    </r>
    <r>
      <rPr>
        <b/>
        <vertAlign val="superscript"/>
        <sz val="10"/>
        <rFont val="Times New Roman"/>
        <family val="1"/>
      </rPr>
      <t>th</t>
    </r>
    <r>
      <rPr>
        <b/>
        <sz val="10"/>
        <rFont val="Times New Roman"/>
        <family val="1"/>
      </rPr>
      <t xml:space="preserve"> October 2022</t>
    </r>
  </si>
  <si>
    <t>REHABILITATION AND IMPROVEMENT TO PERADENIYA-BADULLA-CHENKALADY ROAD FROM PADIYATHALAWA TO THAMPITIYA (219+800 KM - 249+800 KM) OF BADULLA CHENKALADI ROAD IMPROVEMENT PROJECT</t>
  </si>
  <si>
    <t>CONTRACT PACKAGE: RDA/BCRIP/ICB/SFD/02</t>
  </si>
  <si>
    <t>Annex :</t>
  </si>
  <si>
    <t>Interim Payment Application :</t>
  </si>
  <si>
    <t>Consultant</t>
  </si>
  <si>
    <t>: Resources Development Consultants (Pvt) Ltd</t>
  </si>
  <si>
    <t>Period Ending :</t>
  </si>
  <si>
    <t>: Consulting Engineers &amp; Contractor (Pvt) Ltd</t>
  </si>
  <si>
    <t>Sub Clause :</t>
  </si>
  <si>
    <t>14.5 (c) (i)</t>
  </si>
  <si>
    <t>Material at Site</t>
  </si>
  <si>
    <t>S/N</t>
  </si>
  <si>
    <t>Amount</t>
  </si>
  <si>
    <t>Remarks</t>
  </si>
  <si>
    <t>Cement (50kg)</t>
  </si>
  <si>
    <t>Bags</t>
  </si>
  <si>
    <t>Bitumen</t>
  </si>
  <si>
    <t>MC30</t>
  </si>
  <si>
    <t>Bitumen CRS1</t>
  </si>
  <si>
    <t>Bitumen CSS1</t>
  </si>
  <si>
    <t>Reinforcement Steel</t>
  </si>
  <si>
    <t>10 mm (12m)</t>
  </si>
  <si>
    <t>Tonne</t>
  </si>
  <si>
    <t>12 mm (6m)</t>
  </si>
  <si>
    <t>12 mm (12m)</t>
  </si>
  <si>
    <t>16 mm (6m)</t>
  </si>
  <si>
    <t>16 mm (12m)</t>
  </si>
  <si>
    <t>20 mm (12m)</t>
  </si>
  <si>
    <t>25 mm (12m)</t>
  </si>
  <si>
    <t>6 mm(Mild Steel)</t>
  </si>
  <si>
    <t>10 mm(6 m-Mild Steel)</t>
  </si>
  <si>
    <t>16 mm(6 m-Mild Steel)</t>
  </si>
  <si>
    <t>20 mm(6 m-Mild Steel)</t>
  </si>
  <si>
    <t>20 mm(12 m-Mild Steel)</t>
  </si>
  <si>
    <t>25 mm(6 m-Mild Steel)</t>
  </si>
  <si>
    <t>Metal (Aggregate 19 mm)</t>
  </si>
  <si>
    <t>Cu.m</t>
  </si>
  <si>
    <t>Geotextiles</t>
  </si>
  <si>
    <t>Aggregates (ABC)</t>
  </si>
  <si>
    <t>Precast Units - Bridge Beams</t>
  </si>
  <si>
    <t>Road Studs &amp; Road Marking Material</t>
  </si>
  <si>
    <t>Gabion Boxes</t>
  </si>
  <si>
    <t xml:space="preserve">Total Carried Forward (Sub Total x 80%) </t>
  </si>
  <si>
    <t xml:space="preserve">Note : </t>
  </si>
  <si>
    <t>Prepared By QS (CEC)</t>
  </si>
  <si>
    <t xml:space="preserve">    Checked By (CEC)</t>
  </si>
  <si>
    <t>Checked By -  (RDC)</t>
  </si>
  <si>
    <t xml:space="preserve">               Recommended By - (RDC)</t>
  </si>
  <si>
    <t>…………………………………</t>
  </si>
  <si>
    <t xml:space="preserve">                              ……..………………………..</t>
  </si>
  <si>
    <t xml:space="preserve">                     ……………………………………..</t>
  </si>
  <si>
    <t xml:space="preserve">                    …….………………………………</t>
  </si>
  <si>
    <t>Assistant Resident Engineer</t>
  </si>
  <si>
    <t xml:space="preserve">   Quantity Surveyor</t>
  </si>
  <si>
    <t>Date:</t>
  </si>
  <si>
    <t xml:space="preserve">   Date:</t>
  </si>
  <si>
    <t xml:space="preserve"> Date:</t>
  </si>
  <si>
    <t xml:space="preserve">      Date:</t>
  </si>
  <si>
    <r>
      <t xml:space="preserve">Physical Contingencies at 10% of </t>
    </r>
    <r>
      <rPr>
        <b/>
        <sz val="11"/>
        <color indexed="8"/>
        <rFont val="Cambria"/>
        <family val="1"/>
        <scheme val="major"/>
      </rPr>
      <t>SUB (1 + 2)</t>
    </r>
  </si>
  <si>
    <r>
      <t xml:space="preserve">Financial Contingencies at 15% of </t>
    </r>
    <r>
      <rPr>
        <b/>
        <sz val="11"/>
        <color indexed="8"/>
        <rFont val="Cambria"/>
        <family val="1"/>
        <scheme val="major"/>
      </rPr>
      <t>SUB (1 + 2)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</si>
</sst>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_(* #,##0.00_);_(* \(#,##0.00\);_(* &quot;-&quot;??_);_(@_)"/>
    <numFmt numFmtId="165" formatCode="0.0"/>
    <numFmt numFmtId="166" formatCode="[$-409]d\-mmm\-yy;@"/>
    <numFmt numFmtId="167" formatCode="#,##0_);\-#,##0"/>
    <numFmt numFmtId="168" formatCode="0.00_);\(0.00\)"/>
    <numFmt numFmtId="169" formatCode="_-&quot;: Rs.&quot;* #,##0.00_-;\-&quot;€&quot;* #,##0.00_-;_-&quot;€&quot;* &quot;-&quot;??_-;_-@_-"/>
    <numFmt numFmtId="170" formatCode="_(* #,##0_);_(* \(#,##0\);_(* &quot;-&quot;??_);_(@_)"/>
    <numFmt numFmtId="171" formatCode="_(* #,##0.0000_);_(* \(#,##0.0000\);_(* &quot;-&quot;??_);_(@_)"/>
    <numFmt numFmtId="172" formatCode="0.000000"/>
    <numFmt numFmtId="173" formatCode="0.0000"/>
    <numFmt numFmtId="174" formatCode="#,##0.000000"/>
    <numFmt numFmtId="175" formatCode="_(* #,##0.000000_);_(* \(#,##0.000000\);_(* &quot;-&quot;??_);_(@_)"/>
    <numFmt numFmtId="176" formatCode="#,##0.0000"/>
    <numFmt numFmtId="177" formatCode="#,##0.0"/>
    <numFmt numFmtId="178" formatCode="_(* #,##0.000_);_(* \(#,##0.000\);_(* &quot;-&quot;??_);_(@_)"/>
  </numFmts>
  <fonts count="5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1"/>
      <name val="ＭＳ Ｐゴシック"/>
      <family val="3"/>
      <charset val="128"/>
    </font>
    <font>
      <sz val="10"/>
      <name val="Times New Roman"/>
      <family val="1"/>
    </font>
    <font>
      <sz val="10"/>
      <name val="Cambria"/>
      <family val="1"/>
      <scheme val="major"/>
    </font>
    <font>
      <b/>
      <sz val="11"/>
      <name val="Cambria"/>
      <family val="1"/>
      <scheme val="major"/>
    </font>
    <font>
      <b/>
      <u/>
      <sz val="11"/>
      <name val="Cambria"/>
      <family val="1"/>
      <scheme val="major"/>
    </font>
    <font>
      <b/>
      <sz val="10"/>
      <name val="Cambria"/>
      <family val="1"/>
      <scheme val="major"/>
    </font>
    <font>
      <sz val="9"/>
      <name val="Cambria"/>
      <family val="1"/>
      <scheme val="major"/>
    </font>
    <font>
      <sz val="10"/>
      <color indexed="8"/>
      <name val="Cambria"/>
      <family val="1"/>
      <scheme val="major"/>
    </font>
    <font>
      <b/>
      <sz val="10"/>
      <color indexed="8"/>
      <name val="Cambria"/>
      <family val="1"/>
      <scheme val="major"/>
    </font>
    <font>
      <b/>
      <u/>
      <sz val="10"/>
      <name val="Cambria"/>
      <family val="1"/>
      <scheme val="major"/>
    </font>
    <font>
      <b/>
      <sz val="10"/>
      <color theme="1"/>
      <name val="Cambria"/>
      <family val="1"/>
      <scheme val="major"/>
    </font>
    <font>
      <sz val="10"/>
      <color theme="1"/>
      <name val="Cambria"/>
      <family val="1"/>
      <scheme val="major"/>
    </font>
    <font>
      <b/>
      <sz val="9"/>
      <name val="Cambria"/>
      <family val="1"/>
      <scheme val="major"/>
    </font>
    <font>
      <sz val="9"/>
      <color theme="1"/>
      <name val="Cambria"/>
      <family val="1"/>
      <scheme val="major"/>
    </font>
    <font>
      <b/>
      <sz val="14"/>
      <name val="Times New Roman"/>
      <family val="1"/>
    </font>
    <font>
      <sz val="11"/>
      <color theme="1"/>
      <name val="Calibri"/>
      <family val="2"/>
      <charset val="1"/>
      <scheme val="minor"/>
    </font>
    <font>
      <sz val="14"/>
      <color theme="1"/>
      <name val="Calibri"/>
      <family val="2"/>
      <charset val="1"/>
      <scheme val="minor"/>
    </font>
    <font>
      <b/>
      <sz val="11"/>
      <name val="Times New Roman"/>
      <family val="1"/>
    </font>
    <font>
      <sz val="11"/>
      <name val="Times New Roman"/>
      <family val="1"/>
    </font>
    <font>
      <b/>
      <sz val="10"/>
      <name val="Times New Roman"/>
      <family val="1"/>
    </font>
    <font>
      <b/>
      <sz val="10"/>
      <color theme="1"/>
      <name val="Calibri"/>
      <family val="2"/>
      <charset val="1"/>
      <scheme val="minor"/>
    </font>
    <font>
      <b/>
      <vertAlign val="superscript"/>
      <sz val="10"/>
      <name val="Times New Roman"/>
      <family val="1"/>
    </font>
    <font>
      <sz val="11"/>
      <color rgb="FFC00000"/>
      <name val="Times New Roman"/>
      <family val="1"/>
    </font>
    <font>
      <i/>
      <sz val="9"/>
      <name val="Times New Roman"/>
      <family val="1"/>
    </font>
    <font>
      <i/>
      <sz val="11"/>
      <name val="Times New Roman"/>
      <family val="1"/>
    </font>
    <font>
      <sz val="11"/>
      <color theme="1"/>
      <name val="Times New Roman"/>
      <family val="1"/>
    </font>
    <font>
      <sz val="12"/>
      <name val="Times New Roman"/>
      <family val="1"/>
    </font>
    <font>
      <sz val="12"/>
      <color theme="1"/>
      <name val="Times New Roman"/>
      <family val="1"/>
    </font>
    <font>
      <sz val="10"/>
      <name val="Arabic Transparent"/>
      <charset val="178"/>
    </font>
    <font>
      <u/>
      <sz val="10"/>
      <name val="Cambria"/>
      <family val="1"/>
      <scheme val="major"/>
    </font>
    <font>
      <i/>
      <sz val="10"/>
      <name val="Cambria"/>
      <family val="1"/>
      <scheme val="major"/>
    </font>
    <font>
      <sz val="10"/>
      <color theme="1" tint="0.34998626667073579"/>
      <name val="Cambria"/>
      <family val="1"/>
      <scheme val="major"/>
    </font>
    <font>
      <b/>
      <i/>
      <sz val="10"/>
      <name val="Cambria"/>
      <family val="1"/>
      <scheme val="major"/>
    </font>
    <font>
      <sz val="10"/>
      <color theme="1"/>
      <name val="Times New Roman"/>
      <family val="1"/>
    </font>
    <font>
      <b/>
      <sz val="10"/>
      <color theme="1"/>
      <name val="Times New Roman"/>
      <family val="1"/>
    </font>
    <font>
      <sz val="10"/>
      <color rgb="FFFF0000"/>
      <name val="Times New Roman"/>
      <family val="1"/>
    </font>
    <font>
      <sz val="11"/>
      <color indexed="8"/>
      <name val="Times New Roman"/>
      <family val="1"/>
    </font>
    <font>
      <b/>
      <sz val="10"/>
      <color rgb="FFFF0000"/>
      <name val="Times New Roman"/>
      <family val="1"/>
    </font>
    <font>
      <b/>
      <sz val="9"/>
      <color rgb="FFFF0000"/>
      <name val="Times New Roman"/>
      <family val="1"/>
    </font>
    <font>
      <b/>
      <sz val="8"/>
      <color rgb="FFFF0000"/>
      <name val="Times New Roman"/>
      <family val="1"/>
    </font>
    <font>
      <sz val="11"/>
      <color theme="1"/>
      <name val="Cambria"/>
      <family val="1"/>
      <scheme val="major"/>
    </font>
    <font>
      <sz val="11"/>
      <color indexed="8"/>
      <name val="Cambria"/>
      <family val="1"/>
      <scheme val="major"/>
    </font>
    <font>
      <sz val="11"/>
      <name val="Cambria"/>
      <family val="1"/>
      <scheme val="major"/>
    </font>
    <font>
      <b/>
      <sz val="11"/>
      <color theme="1"/>
      <name val="Cambria"/>
      <family val="1"/>
      <scheme val="major"/>
    </font>
    <font>
      <b/>
      <sz val="11"/>
      <color indexed="8"/>
      <name val="Cambria"/>
      <family val="1"/>
      <scheme val="major"/>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4" tint="0.79998168889431442"/>
        <bgColor indexed="64"/>
      </patternFill>
    </fill>
  </fills>
  <borders count="85">
    <border>
      <left/>
      <right/>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bottom style="hair">
        <color indexed="64"/>
      </bottom>
      <diagonal/>
    </border>
    <border>
      <left style="thin">
        <color indexed="64"/>
      </left>
      <right style="thin">
        <color indexed="64"/>
      </right>
      <top/>
      <bottom style="hair">
        <color indexed="64"/>
      </bottom>
      <diagonal/>
    </border>
    <border>
      <left style="thin">
        <color indexed="64"/>
      </left>
      <right/>
      <top style="hair">
        <color indexed="64"/>
      </top>
      <bottom style="hair">
        <color indexed="64"/>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64"/>
      </left>
      <right/>
      <top style="thin">
        <color indexed="64"/>
      </top>
      <bottom style="thin">
        <color indexed="8"/>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right style="thin">
        <color indexed="64"/>
      </right>
      <top/>
      <bottom style="thin">
        <color indexed="64"/>
      </bottom>
      <diagonal/>
    </border>
    <border>
      <left style="thin">
        <color indexed="64"/>
      </left>
      <right/>
      <top style="thin">
        <color indexed="8"/>
      </top>
      <bottom style="thin">
        <color indexed="8"/>
      </bottom>
      <diagonal/>
    </border>
    <border>
      <left style="thin">
        <color indexed="64"/>
      </left>
      <right/>
      <top/>
      <bottom style="thin">
        <color indexed="8"/>
      </bottom>
      <diagonal/>
    </border>
    <border>
      <left/>
      <right/>
      <top style="thin">
        <color indexed="8"/>
      </top>
      <bottom style="thin">
        <color indexed="8"/>
      </bottom>
      <diagonal/>
    </border>
    <border>
      <left style="thin">
        <color indexed="64"/>
      </left>
      <right/>
      <top style="thin">
        <color indexed="8"/>
      </top>
      <bottom style="thin">
        <color indexed="64"/>
      </bottom>
      <diagonal/>
    </border>
    <border>
      <left/>
      <right/>
      <top style="thin">
        <color indexed="8"/>
      </top>
      <bottom style="thin">
        <color indexed="64"/>
      </bottom>
      <diagonal/>
    </border>
    <border>
      <left/>
      <right style="thin">
        <color indexed="64"/>
      </right>
      <top style="thin">
        <color indexed="8"/>
      </top>
      <bottom style="thin">
        <color indexed="64"/>
      </bottom>
      <diagonal/>
    </border>
    <border>
      <left/>
      <right/>
      <top style="thin">
        <color auto="1"/>
      </top>
      <bottom/>
      <diagonal/>
    </border>
    <border>
      <left/>
      <right style="thin">
        <color indexed="8"/>
      </right>
      <top style="thin">
        <color indexed="64"/>
      </top>
      <bottom style="hair">
        <color indexed="64"/>
      </bottom>
      <diagonal/>
    </border>
    <border>
      <left style="thin">
        <color indexed="8"/>
      </left>
      <right style="thin">
        <color indexed="8"/>
      </right>
      <top style="thin">
        <color indexed="64"/>
      </top>
      <bottom style="hair">
        <color indexed="64"/>
      </bottom>
      <diagonal/>
    </border>
    <border>
      <left/>
      <right style="thin">
        <color indexed="8"/>
      </right>
      <top style="hair">
        <color indexed="64"/>
      </top>
      <bottom style="hair">
        <color indexed="64"/>
      </bottom>
      <diagonal/>
    </border>
    <border>
      <left style="thin">
        <color indexed="8"/>
      </left>
      <right style="thin">
        <color indexed="8"/>
      </right>
      <top style="hair">
        <color indexed="64"/>
      </top>
      <bottom style="hair">
        <color indexed="64"/>
      </bottom>
      <diagonal/>
    </border>
    <border>
      <left/>
      <right style="thin">
        <color indexed="8"/>
      </right>
      <top style="hair">
        <color indexed="64"/>
      </top>
      <bottom style="thin">
        <color indexed="64"/>
      </bottom>
      <diagonal/>
    </border>
    <border>
      <left style="thin">
        <color indexed="8"/>
      </left>
      <right style="thin">
        <color indexed="8"/>
      </right>
      <top style="hair">
        <color indexed="64"/>
      </top>
      <bottom style="thin">
        <color indexed="64"/>
      </bottom>
      <diagonal/>
    </border>
    <border>
      <left/>
      <right style="thin">
        <color indexed="8"/>
      </right>
      <top style="thin">
        <color indexed="64"/>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auto="1"/>
      </right>
      <top style="thin">
        <color auto="1"/>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thin">
        <color indexed="64"/>
      </left>
      <right style="medium">
        <color indexed="64"/>
      </right>
      <top style="thin">
        <color indexed="64"/>
      </top>
      <bottom style="thin">
        <color indexed="64"/>
      </bottom>
      <diagonal/>
    </border>
    <border>
      <left/>
      <right/>
      <top/>
      <bottom style="hair">
        <color indexed="64"/>
      </bottom>
      <diagonal/>
    </border>
    <border>
      <left style="thin">
        <color auto="1"/>
      </left>
      <right/>
      <top style="thin">
        <color indexed="64"/>
      </top>
      <bottom/>
      <diagonal/>
    </border>
    <border>
      <left/>
      <right style="thin">
        <color indexed="64"/>
      </right>
      <top style="thin">
        <color indexed="8"/>
      </top>
      <bottom/>
      <diagonal/>
    </border>
    <border>
      <left/>
      <right style="thin">
        <color indexed="64"/>
      </right>
      <top/>
      <bottom style="thin">
        <color indexed="8"/>
      </bottom>
      <diagonal/>
    </border>
    <border>
      <left/>
      <right/>
      <top/>
      <bottom style="thin">
        <color indexed="64"/>
      </bottom>
      <diagonal/>
    </border>
    <border>
      <left/>
      <right/>
      <top style="thin">
        <color indexed="64"/>
      </top>
      <bottom style="hair">
        <color indexed="64"/>
      </bottom>
      <diagonal/>
    </border>
    <border>
      <left style="thin">
        <color auto="1"/>
      </left>
      <right style="thin">
        <color auto="1"/>
      </right>
      <top style="hair">
        <color auto="1"/>
      </top>
      <bottom style="hair">
        <color auto="1"/>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thin">
        <color indexed="64"/>
      </top>
      <bottom style="double">
        <color indexed="64"/>
      </bottom>
      <diagonal/>
    </border>
    <border>
      <left/>
      <right style="thin">
        <color auto="1"/>
      </right>
      <top style="thin">
        <color auto="1"/>
      </top>
      <bottom/>
      <diagonal/>
    </border>
    <border>
      <left/>
      <right style="thin">
        <color auto="1"/>
      </right>
      <top style="thin">
        <color indexed="64"/>
      </top>
      <bottom style="thin">
        <color auto="1"/>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auto="1"/>
      </right>
      <top style="thin">
        <color indexed="64"/>
      </top>
      <bottom style="hair">
        <color indexed="64"/>
      </bottom>
      <diagonal/>
    </border>
    <border>
      <left/>
      <right style="thin">
        <color auto="1"/>
      </right>
      <top style="hair">
        <color indexed="64"/>
      </top>
      <bottom style="thin">
        <color indexed="64"/>
      </bottom>
      <diagonal/>
    </border>
    <border>
      <left/>
      <right style="thin">
        <color indexed="64"/>
      </right>
      <top style="thin">
        <color indexed="64"/>
      </top>
      <bottom style="hair">
        <color indexed="64"/>
      </bottom>
      <diagonal/>
    </border>
    <border>
      <left style="thin">
        <color indexed="64"/>
      </left>
      <right/>
      <top style="thin">
        <color indexed="64"/>
      </top>
      <bottom style="double">
        <color indexed="64"/>
      </bottom>
      <diagonal/>
    </border>
    <border>
      <left style="medium">
        <color indexed="64"/>
      </left>
      <right/>
      <top/>
      <bottom style="thin">
        <color auto="1"/>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82">
    <xf numFmtId="0" fontId="0" fillId="0" borderId="0"/>
    <xf numFmtId="164" fontId="4" fillId="0" borderId="0" applyFont="0" applyFill="0" applyBorder="0" applyAlignment="0" applyProtection="0"/>
    <xf numFmtId="0" fontId="6"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7" fillId="0" borderId="0">
      <alignment vertical="top" wrapText="1"/>
    </xf>
    <xf numFmtId="0" fontId="4" fillId="0" borderId="0"/>
    <xf numFmtId="0" fontId="3" fillId="0" borderId="0"/>
    <xf numFmtId="9" fontId="7" fillId="0" borderId="0" applyFont="0" applyFill="0" applyBorder="0" applyAlignment="0" applyProtection="0">
      <alignment vertical="center"/>
    </xf>
    <xf numFmtId="43" fontId="3" fillId="0" borderId="0" applyFont="0" applyFill="0" applyBorder="0" applyAlignment="0" applyProtection="0"/>
    <xf numFmtId="0" fontId="4" fillId="0" borderId="0"/>
    <xf numFmtId="0" fontId="2" fillId="0" borderId="0"/>
    <xf numFmtId="0" fontId="21" fillId="0" borderId="0"/>
    <xf numFmtId="0" fontId="2" fillId="0" borderId="0"/>
    <xf numFmtId="43" fontId="7" fillId="0" borderId="0" applyBorder="0" applyProtection="0">
      <alignment wrapText="1"/>
    </xf>
    <xf numFmtId="43" fontId="21" fillId="0" borderId="0" applyFont="0" applyFill="0" applyBorder="0" applyAlignment="0" applyProtection="0"/>
    <xf numFmtId="0" fontId="7" fillId="0" borderId="0">
      <alignment vertical="top" wrapText="1"/>
    </xf>
    <xf numFmtId="164" fontId="21" fillId="0" borderId="0" applyFont="0" applyFill="0" applyBorder="0" applyAlignment="0" applyProtection="0"/>
    <xf numFmtId="164" fontId="2" fillId="0" borderId="0" applyFont="0" applyFill="0" applyBorder="0" applyAlignment="0" applyProtection="0"/>
    <xf numFmtId="164" fontId="4" fillId="0" borderId="0" applyFont="0" applyFill="0" applyBorder="0" applyAlignment="0" applyProtection="0"/>
    <xf numFmtId="164" fontId="7" fillId="0" borderId="0" applyBorder="0" applyProtection="0">
      <alignment wrapText="1"/>
    </xf>
    <xf numFmtId="170" fontId="4" fillId="0" borderId="0" applyFont="0" applyFill="0" applyBorder="0" applyAlignment="0" applyProtection="0"/>
    <xf numFmtId="171" fontId="4" fillId="0" borderId="0" applyFont="0" applyFill="0" applyBorder="0" applyAlignment="0" applyProtection="0"/>
    <xf numFmtId="43" fontId="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34" fillId="0" borderId="60" applyNumberFormat="0">
      <alignment horizontal="right"/>
    </xf>
    <xf numFmtId="0" fontId="4" fillId="0" borderId="0"/>
    <xf numFmtId="0" fontId="4" fillId="0" borderId="0"/>
    <xf numFmtId="0" fontId="7" fillId="0" borderId="0">
      <alignment vertical="top" wrapText="1"/>
    </xf>
    <xf numFmtId="0" fontId="7" fillId="0" borderId="0">
      <alignment vertical="top" wrapText="1"/>
    </xf>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34" fillId="0" borderId="60" applyNumberFormat="0">
      <alignment horizontal="right"/>
    </xf>
    <xf numFmtId="0" fontId="4" fillId="0" borderId="0"/>
    <xf numFmtId="43" fontId="4" fillId="0" borderId="0" applyFont="0" applyFill="0" applyBorder="0" applyAlignment="0" applyProtection="0"/>
    <xf numFmtId="0" fontId="4" fillId="0" borderId="0"/>
    <xf numFmtId="9" fontId="21" fillId="0" borderId="0" applyFont="0" applyFill="0" applyBorder="0" applyAlignment="0" applyProtection="0"/>
    <xf numFmtId="0" fontId="4" fillId="0" borderId="0"/>
    <xf numFmtId="0" fontId="1" fillId="0" borderId="0"/>
    <xf numFmtId="0" fontId="4" fillId="0" borderId="0"/>
    <xf numFmtId="0" fontId="1" fillId="0" borderId="0"/>
    <xf numFmtId="164" fontId="1" fillId="0" borderId="0" applyFont="0" applyFill="0" applyBorder="0" applyAlignment="0" applyProtection="0"/>
    <xf numFmtId="0" fontId="1" fillId="0" borderId="0"/>
  </cellStyleXfs>
  <cellXfs count="767">
    <xf numFmtId="0" fontId="0" fillId="0" borderId="0" xfId="0"/>
    <xf numFmtId="0" fontId="8" fillId="0" borderId="0" xfId="0" applyFont="1" applyAlignment="1">
      <alignment vertical="center" wrapText="1"/>
    </xf>
    <xf numFmtId="0" fontId="9" fillId="0" borderId="0" xfId="8" applyFont="1" applyAlignment="1">
      <alignment horizontal="left" vertical="center"/>
    </xf>
    <xf numFmtId="0" fontId="9" fillId="0" borderId="0" xfId="8" applyFont="1" applyAlignment="1">
      <alignment vertical="center"/>
    </xf>
    <xf numFmtId="0" fontId="10" fillId="0" borderId="0" xfId="8" applyFont="1" applyAlignment="1">
      <alignment horizontal="center" vertical="center" wrapText="1"/>
    </xf>
    <xf numFmtId="164" fontId="8" fillId="0" borderId="6" xfId="1" applyFont="1" applyFill="1" applyBorder="1" applyAlignment="1">
      <alignment horizontal="center" vertical="center" wrapText="1"/>
    </xf>
    <xf numFmtId="0" fontId="8" fillId="0" borderId="10" xfId="0" applyFont="1" applyBorder="1" applyAlignment="1">
      <alignment horizontal="center" vertical="center" wrapText="1"/>
    </xf>
    <xf numFmtId="0" fontId="8" fillId="0" borderId="10" xfId="3" applyFont="1" applyBorder="1" applyAlignment="1">
      <alignment horizontal="center" vertical="center" wrapText="1"/>
    </xf>
    <xf numFmtId="0" fontId="8" fillId="0" borderId="10" xfId="3" applyFont="1" applyBorder="1" applyAlignment="1">
      <alignment horizontal="center" vertical="center" wrapText="1" shrinkToFit="1"/>
    </xf>
    <xf numFmtId="164" fontId="8" fillId="0" borderId="10" xfId="1" applyFont="1" applyFill="1" applyBorder="1" applyAlignment="1">
      <alignment horizontal="center" vertical="center" wrapText="1"/>
    </xf>
    <xf numFmtId="0" fontId="8" fillId="0" borderId="11" xfId="0" applyFont="1" applyBorder="1" applyAlignment="1">
      <alignment horizontal="center" vertical="center" wrapText="1"/>
    </xf>
    <xf numFmtId="0" fontId="8" fillId="0" borderId="11" xfId="3" applyFont="1" applyBorder="1" applyAlignment="1">
      <alignment horizontal="center" vertical="center" wrapText="1"/>
    </xf>
    <xf numFmtId="0" fontId="8" fillId="0" borderId="11" xfId="3" applyFont="1" applyBorder="1" applyAlignment="1">
      <alignment horizontal="center" vertical="center" wrapText="1" shrinkToFit="1"/>
    </xf>
    <xf numFmtId="164" fontId="8" fillId="0" borderId="11" xfId="1" applyFont="1" applyFill="1" applyBorder="1" applyAlignment="1">
      <alignment horizontal="center" vertical="center" wrapText="1"/>
    </xf>
    <xf numFmtId="0" fontId="8" fillId="0" borderId="12" xfId="0" applyFont="1" applyBorder="1" applyAlignment="1">
      <alignment horizontal="center" vertical="center" wrapText="1"/>
    </xf>
    <xf numFmtId="0" fontId="8" fillId="0" borderId="12" xfId="3" applyFont="1" applyBorder="1" applyAlignment="1">
      <alignment horizontal="center" vertical="center" wrapText="1"/>
    </xf>
    <xf numFmtId="164" fontId="8" fillId="0" borderId="13" xfId="1" applyFont="1" applyFill="1" applyBorder="1" applyAlignment="1">
      <alignment horizontal="center" vertical="center" wrapText="1"/>
    </xf>
    <xf numFmtId="0" fontId="8" fillId="0" borderId="12" xfId="3" applyFont="1" applyBorder="1" applyAlignment="1">
      <alignment horizontal="center" vertical="center" wrapText="1" shrinkToFit="1"/>
    </xf>
    <xf numFmtId="164" fontId="8" fillId="0" borderId="12" xfId="1" applyFont="1" applyFill="1" applyBorder="1" applyAlignment="1">
      <alignment horizontal="center" vertical="center" wrapText="1"/>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8" fillId="0" borderId="11" xfId="0" applyFont="1" applyBorder="1" applyAlignment="1">
      <alignment vertical="center" wrapText="1"/>
    </xf>
    <xf numFmtId="0" fontId="12" fillId="0" borderId="12" xfId="0" applyFont="1" applyBorder="1" applyAlignment="1">
      <alignment horizontal="center" vertical="center" wrapText="1"/>
    </xf>
    <xf numFmtId="0" fontId="8" fillId="0" borderId="12" xfId="0" applyFont="1" applyBorder="1" applyAlignment="1">
      <alignment vertical="center" wrapText="1"/>
    </xf>
    <xf numFmtId="0" fontId="8" fillId="0" borderId="0" xfId="0" applyFont="1" applyAlignment="1">
      <alignment horizontal="center" vertical="center" wrapText="1"/>
    </xf>
    <xf numFmtId="164" fontId="8" fillId="0" borderId="0" xfId="1" applyFont="1" applyFill="1" applyAlignment="1">
      <alignment horizontal="right" vertical="center" wrapText="1"/>
    </xf>
    <xf numFmtId="0" fontId="12" fillId="0" borderId="0" xfId="0" applyFont="1" applyAlignment="1">
      <alignment horizontal="center" vertical="center" wrapText="1"/>
    </xf>
    <xf numFmtId="0" fontId="12" fillId="0" borderId="0" xfId="0" applyFont="1" applyAlignment="1">
      <alignment vertical="center" wrapText="1"/>
    </xf>
    <xf numFmtId="164" fontId="12" fillId="0" borderId="0" xfId="1" applyFont="1" applyFill="1" applyAlignment="1">
      <alignment horizontal="right" vertical="center" wrapText="1"/>
    </xf>
    <xf numFmtId="0" fontId="8" fillId="0" borderId="0" xfId="8" applyFont="1" applyAlignment="1">
      <alignment vertical="center" wrapText="1"/>
    </xf>
    <xf numFmtId="0" fontId="8" fillId="0" borderId="6" xfId="0" applyFont="1" applyBorder="1" applyAlignment="1">
      <alignment vertical="center" wrapText="1"/>
    </xf>
    <xf numFmtId="0" fontId="11" fillId="0" borderId="4" xfId="0" applyFont="1" applyBorder="1" applyAlignment="1">
      <alignment vertical="center"/>
    </xf>
    <xf numFmtId="0" fontId="11" fillId="0" borderId="6" xfId="0" applyFont="1" applyBorder="1" applyAlignment="1">
      <alignment vertical="center"/>
    </xf>
    <xf numFmtId="0" fontId="11" fillId="0" borderId="6" xfId="0" applyFont="1" applyBorder="1" applyAlignment="1">
      <alignment vertical="center" wrapText="1"/>
    </xf>
    <xf numFmtId="0" fontId="11" fillId="0" borderId="2" xfId="2" applyFont="1" applyBorder="1" applyAlignment="1">
      <alignment vertical="center" wrapText="1"/>
    </xf>
    <xf numFmtId="0" fontId="13" fillId="0" borderId="9" xfId="8" applyFont="1" applyBorder="1" applyAlignment="1">
      <alignment vertical="center" wrapText="1"/>
    </xf>
    <xf numFmtId="0" fontId="14" fillId="0" borderId="28" xfId="8" applyFont="1" applyBorder="1" applyAlignment="1">
      <alignment horizontal="center" vertical="center" wrapText="1"/>
    </xf>
    <xf numFmtId="43" fontId="14" fillId="0" borderId="26" xfId="4" applyNumberFormat="1" applyFont="1" applyFill="1" applyBorder="1" applyAlignment="1">
      <alignment horizontal="center" vertical="center" wrapText="1"/>
    </xf>
    <xf numFmtId="0" fontId="8" fillId="0" borderId="34" xfId="3" applyFont="1" applyBorder="1" applyAlignment="1">
      <alignment horizontal="left" vertical="center" wrapText="1"/>
    </xf>
    <xf numFmtId="0" fontId="8" fillId="0" borderId="19" xfId="0" applyFont="1" applyBorder="1" applyAlignment="1">
      <alignment vertical="center" wrapText="1"/>
    </xf>
    <xf numFmtId="0" fontId="8" fillId="0" borderId="35" xfId="0" applyFont="1" applyBorder="1" applyAlignment="1">
      <alignment vertical="center" wrapText="1"/>
    </xf>
    <xf numFmtId="0" fontId="11" fillId="0" borderId="6" xfId="2" applyFont="1" applyBorder="1" applyAlignment="1">
      <alignment vertical="center" wrapText="1"/>
    </xf>
    <xf numFmtId="164" fontId="11" fillId="0" borderId="6" xfId="1" applyFont="1" applyFill="1" applyBorder="1" applyAlignment="1">
      <alignment horizontal="center" vertical="center" wrapText="1"/>
    </xf>
    <xf numFmtId="0" fontId="8" fillId="0" borderId="0" xfId="6" applyFont="1" applyAlignment="1">
      <alignment vertical="top" wrapText="1"/>
    </xf>
    <xf numFmtId="0" fontId="15" fillId="0" borderId="0" xfId="6" applyFont="1" applyAlignment="1">
      <alignment horizontal="center" vertical="center" wrapText="1"/>
    </xf>
    <xf numFmtId="0" fontId="8" fillId="0" borderId="0" xfId="6" applyFont="1" applyAlignment="1">
      <alignment horizontal="left" vertical="top" wrapText="1"/>
    </xf>
    <xf numFmtId="43" fontId="8" fillId="0" borderId="0" xfId="4" applyNumberFormat="1" applyFont="1" applyFill="1" applyAlignment="1">
      <alignment horizontal="right" vertical="top" wrapText="1"/>
    </xf>
    <xf numFmtId="0" fontId="11" fillId="0" borderId="0" xfId="8" applyFont="1" applyAlignment="1">
      <alignment vertical="center"/>
    </xf>
    <xf numFmtId="0" fontId="11" fillId="0" borderId="0" xfId="8" applyFont="1" applyAlignment="1">
      <alignment horizontal="left" vertical="center"/>
    </xf>
    <xf numFmtId="164" fontId="11" fillId="0" borderId="0" xfId="1" applyFont="1" applyFill="1" applyAlignment="1">
      <alignment vertical="center"/>
    </xf>
    <xf numFmtId="0" fontId="11" fillId="0" borderId="20" xfId="8" applyFont="1" applyBorder="1" applyAlignment="1">
      <alignment horizontal="left" vertical="center"/>
    </xf>
    <xf numFmtId="0" fontId="15" fillId="0" borderId="0" xfId="8" applyFont="1" applyAlignment="1">
      <alignment horizontal="center" vertical="center" wrapText="1"/>
    </xf>
    <xf numFmtId="0" fontId="11" fillId="0" borderId="22" xfId="8" applyFont="1" applyBorder="1" applyAlignment="1">
      <alignment horizontal="left" vertical="center"/>
    </xf>
    <xf numFmtId="0" fontId="11" fillId="0" borderId="0" xfId="6" applyFont="1" applyAlignment="1">
      <alignment vertical="center"/>
    </xf>
    <xf numFmtId="0" fontId="11" fillId="0" borderId="0" xfId="6" applyFont="1" applyAlignment="1">
      <alignment horizontal="left" vertical="center"/>
    </xf>
    <xf numFmtId="0" fontId="16" fillId="0" borderId="0" xfId="0" applyFont="1" applyAlignment="1">
      <alignment horizontal="left" vertical="center" wrapText="1"/>
    </xf>
    <xf numFmtId="10" fontId="11" fillId="0" borderId="0" xfId="4" applyNumberFormat="1" applyFont="1" applyFill="1" applyBorder="1" applyAlignment="1">
      <alignment horizontal="center" vertical="center" wrapText="1"/>
    </xf>
    <xf numFmtId="43" fontId="11" fillId="0" borderId="0" xfId="4" applyNumberFormat="1" applyFont="1" applyFill="1" applyBorder="1" applyAlignment="1">
      <alignment horizontal="center" vertical="center" wrapText="1"/>
    </xf>
    <xf numFmtId="0" fontId="11" fillId="0" borderId="0" xfId="13" applyFont="1"/>
    <xf numFmtId="0" fontId="11" fillId="0" borderId="0" xfId="0" applyFont="1"/>
    <xf numFmtId="166" fontId="11" fillId="0" borderId="0" xfId="13" applyNumberFormat="1" applyFont="1"/>
    <xf numFmtId="0" fontId="11" fillId="0" borderId="0" xfId="13" applyFont="1" applyAlignment="1">
      <alignment horizontal="left"/>
    </xf>
    <xf numFmtId="164" fontId="11" fillId="0" borderId="0" xfId="1" applyFont="1" applyFill="1" applyBorder="1" applyAlignment="1">
      <alignment horizontal="left"/>
    </xf>
    <xf numFmtId="168" fontId="11" fillId="0" borderId="0" xfId="1" applyNumberFormat="1" applyFont="1" applyFill="1" applyBorder="1" applyAlignment="1"/>
    <xf numFmtId="168" fontId="11" fillId="0" borderId="0" xfId="0" applyNumberFormat="1" applyFont="1"/>
    <xf numFmtId="164" fontId="11" fillId="0" borderId="0" xfId="1" applyFont="1" applyFill="1" applyBorder="1" applyAlignment="1"/>
    <xf numFmtId="168" fontId="11" fillId="0" borderId="0" xfId="13" applyNumberFormat="1" applyFont="1"/>
    <xf numFmtId="2" fontId="11" fillId="0" borderId="0" xfId="1" applyNumberFormat="1" applyFont="1" applyFill="1" applyBorder="1" applyAlignment="1"/>
    <xf numFmtId="0" fontId="11" fillId="0" borderId="0" xfId="10" applyFont="1"/>
    <xf numFmtId="0" fontId="11" fillId="0" borderId="0" xfId="0" applyFont="1" applyProtection="1">
      <protection locked="0"/>
    </xf>
    <xf numFmtId="4" fontId="11" fillId="0" borderId="0" xfId="0" applyNumberFormat="1" applyFont="1" applyProtection="1">
      <protection locked="0"/>
    </xf>
    <xf numFmtId="10" fontId="14" fillId="0" borderId="20" xfId="4" applyNumberFormat="1" applyFont="1" applyFill="1" applyBorder="1" applyAlignment="1">
      <alignment horizontal="center" vertical="center" wrapText="1"/>
    </xf>
    <xf numFmtId="0" fontId="17" fillId="0" borderId="10" xfId="0" applyFont="1" applyBorder="1" applyAlignment="1">
      <alignment horizontal="center" vertical="center" wrapText="1"/>
    </xf>
    <xf numFmtId="0" fontId="17" fillId="0" borderId="11" xfId="0" applyFont="1" applyBorder="1" applyAlignment="1">
      <alignment horizontal="center" vertical="center" wrapText="1"/>
    </xf>
    <xf numFmtId="16" fontId="17" fillId="0" borderId="11" xfId="0" quotePrefix="1" applyNumberFormat="1" applyFont="1" applyBorder="1" applyAlignment="1">
      <alignment horizontal="center" vertical="center" wrapText="1"/>
    </xf>
    <xf numFmtId="0" fontId="17" fillId="0" borderId="12" xfId="0" applyFont="1" applyBorder="1" applyAlignment="1">
      <alignment horizontal="center" vertical="center" wrapText="1"/>
    </xf>
    <xf numFmtId="0" fontId="8" fillId="0" borderId="0" xfId="0" applyFont="1"/>
    <xf numFmtId="0" fontId="8" fillId="0" borderId="6" xfId="0" applyFont="1" applyBorder="1" applyAlignment="1">
      <alignment horizontal="center" vertical="center"/>
    </xf>
    <xf numFmtId="164" fontId="11" fillId="0" borderId="8" xfId="1" applyFont="1" applyFill="1" applyBorder="1" applyAlignment="1">
      <alignment horizontal="right" vertical="center"/>
    </xf>
    <xf numFmtId="0" fontId="11" fillId="0" borderId="0" xfId="0" applyFont="1" applyAlignment="1">
      <alignment vertical="center"/>
    </xf>
    <xf numFmtId="164" fontId="8" fillId="0" borderId="6" xfId="1" applyFont="1" applyFill="1" applyBorder="1" applyAlignment="1">
      <alignment horizontal="right" vertical="center"/>
    </xf>
    <xf numFmtId="0" fontId="8" fillId="0" borderId="0" xfId="0" applyFont="1" applyAlignment="1">
      <alignment vertical="center"/>
    </xf>
    <xf numFmtId="0" fontId="12" fillId="0" borderId="0" xfId="0" applyFont="1" applyAlignment="1">
      <alignment horizontal="center"/>
    </xf>
    <xf numFmtId="0" fontId="12" fillId="0" borderId="0" xfId="0" applyFont="1"/>
    <xf numFmtId="3" fontId="12" fillId="0" borderId="0" xfId="0" applyNumberFormat="1" applyFont="1" applyAlignment="1">
      <alignment horizontal="center"/>
    </xf>
    <xf numFmtId="164" fontId="12" fillId="0" borderId="0" xfId="1" applyFont="1" applyAlignment="1">
      <alignment horizontal="right"/>
    </xf>
    <xf numFmtId="164" fontId="8" fillId="0" borderId="6" xfId="1" applyFont="1" applyFill="1" applyBorder="1" applyAlignment="1">
      <alignment horizontal="center" vertical="center"/>
    </xf>
    <xf numFmtId="0" fontId="14" fillId="0" borderId="6" xfId="8" applyFont="1" applyBorder="1" applyAlignment="1">
      <alignment horizontal="center" vertical="center" wrapText="1"/>
    </xf>
    <xf numFmtId="0" fontId="11" fillId="0" borderId="9" xfId="8" applyFont="1" applyBorder="1" applyAlignment="1">
      <alignment vertical="center"/>
    </xf>
    <xf numFmtId="0" fontId="11" fillId="0" borderId="2" xfId="0" applyFont="1" applyBorder="1" applyAlignment="1">
      <alignment vertical="center"/>
    </xf>
    <xf numFmtId="0" fontId="11" fillId="0" borderId="9" xfId="0" applyFont="1" applyBorder="1" applyAlignment="1">
      <alignment vertical="center"/>
    </xf>
    <xf numFmtId="0" fontId="11" fillId="0" borderId="3" xfId="0" applyFont="1" applyBorder="1" applyAlignment="1">
      <alignment vertical="center"/>
    </xf>
    <xf numFmtId="0" fontId="8" fillId="0" borderId="6" xfId="0" applyFont="1" applyBorder="1" applyAlignment="1">
      <alignment horizontal="left" vertical="center"/>
    </xf>
    <xf numFmtId="0" fontId="11" fillId="0" borderId="6" xfId="0" applyFont="1" applyBorder="1" applyAlignment="1">
      <alignment horizontal="left" vertical="center"/>
    </xf>
    <xf numFmtId="164" fontId="11" fillId="0" borderId="6" xfId="1" applyFont="1" applyFill="1" applyBorder="1" applyAlignment="1">
      <alignment horizontal="right" vertical="center"/>
    </xf>
    <xf numFmtId="0" fontId="8" fillId="0" borderId="10" xfId="0" applyFont="1" applyBorder="1" applyAlignment="1">
      <alignment horizontal="center" vertical="center"/>
    </xf>
    <xf numFmtId="0" fontId="8" fillId="0" borderId="10" xfId="0" applyFont="1" applyBorder="1" applyAlignment="1">
      <alignment horizontal="left" vertical="center"/>
    </xf>
    <xf numFmtId="164" fontId="8" fillId="0" borderId="10" xfId="1" applyFont="1" applyFill="1" applyBorder="1" applyAlignment="1">
      <alignment horizontal="center" vertical="center"/>
    </xf>
    <xf numFmtId="0" fontId="8" fillId="0" borderId="11" xfId="0" applyFont="1" applyBorder="1" applyAlignment="1">
      <alignment horizontal="center" vertical="center"/>
    </xf>
    <xf numFmtId="0" fontId="8" fillId="0" borderId="11" xfId="0" applyFont="1" applyBorder="1" applyAlignment="1">
      <alignment horizontal="left" vertical="center" wrapText="1"/>
    </xf>
    <xf numFmtId="1" fontId="8" fillId="0" borderId="11" xfId="0" applyNumberFormat="1" applyFont="1" applyBorder="1" applyAlignment="1">
      <alignment horizontal="center" vertical="center" wrapText="1"/>
    </xf>
    <xf numFmtId="164" fontId="8" fillId="0" borderId="11" xfId="1" applyFont="1" applyFill="1" applyBorder="1" applyAlignment="1">
      <alignment horizontal="center" vertical="center"/>
    </xf>
    <xf numFmtId="1" fontId="8" fillId="0" borderId="11" xfId="0" quotePrefix="1" applyNumberFormat="1" applyFont="1" applyBorder="1" applyAlignment="1">
      <alignment horizontal="left" vertical="center" wrapText="1"/>
    </xf>
    <xf numFmtId="0" fontId="8" fillId="0" borderId="12" xfId="0" applyFont="1" applyBorder="1" applyAlignment="1">
      <alignment horizontal="center" vertical="center"/>
    </xf>
    <xf numFmtId="1" fontId="8" fillId="0" borderId="12" xfId="0" quotePrefix="1" applyNumberFormat="1" applyFont="1" applyBorder="1" applyAlignment="1">
      <alignment horizontal="left" vertical="center" wrapText="1"/>
    </xf>
    <xf numFmtId="1" fontId="8" fillId="0" borderId="12" xfId="0" applyNumberFormat="1" applyFont="1" applyBorder="1" applyAlignment="1">
      <alignment horizontal="center" vertical="center" wrapText="1"/>
    </xf>
    <xf numFmtId="164" fontId="8" fillId="0" borderId="12" xfId="1" applyFont="1" applyFill="1" applyBorder="1" applyAlignment="1">
      <alignment horizontal="center" vertical="center"/>
    </xf>
    <xf numFmtId="0" fontId="18" fillId="0" borderId="6" xfId="0" applyFont="1" applyBorder="1" applyAlignment="1">
      <alignment horizontal="left" vertical="center"/>
    </xf>
    <xf numFmtId="0" fontId="18" fillId="0" borderId="6" xfId="0" applyFont="1" applyBorder="1" applyAlignment="1">
      <alignment horizontal="center" vertical="center"/>
    </xf>
    <xf numFmtId="164" fontId="18" fillId="0" borderId="6" xfId="1" applyFont="1" applyFill="1" applyBorder="1" applyAlignment="1">
      <alignment horizontal="center" vertical="center"/>
    </xf>
    <xf numFmtId="164" fontId="11" fillId="0" borderId="8" xfId="1" applyFont="1" applyBorder="1" applyAlignment="1">
      <alignment horizontal="center" vertical="center"/>
    </xf>
    <xf numFmtId="1" fontId="8" fillId="0" borderId="10" xfId="0" quotePrefix="1" applyNumberFormat="1" applyFont="1" applyBorder="1" applyAlignment="1">
      <alignment horizontal="center" vertical="center" wrapText="1"/>
    </xf>
    <xf numFmtId="1" fontId="8" fillId="0" borderId="10" xfId="0" quotePrefix="1" applyNumberFormat="1" applyFont="1" applyBorder="1" applyAlignment="1">
      <alignment horizontal="left" vertical="center" wrapText="1"/>
    </xf>
    <xf numFmtId="1" fontId="8" fillId="0" borderId="11" xfId="0" quotePrefix="1" applyNumberFormat="1" applyFont="1" applyBorder="1" applyAlignment="1">
      <alignment horizontal="center" vertical="center" wrapText="1"/>
    </xf>
    <xf numFmtId="1" fontId="8" fillId="0" borderId="12" xfId="0" quotePrefix="1" applyNumberFormat="1" applyFont="1" applyBorder="1" applyAlignment="1">
      <alignment horizontal="center" vertical="center" wrapText="1"/>
    </xf>
    <xf numFmtId="164" fontId="11" fillId="0" borderId="6" xfId="1" applyFont="1" applyFill="1" applyBorder="1" applyAlignment="1">
      <alignment horizontal="right" vertical="center" wrapText="1"/>
    </xf>
    <xf numFmtId="0" fontId="11" fillId="0" borderId="0" xfId="0" applyFont="1" applyAlignment="1">
      <alignment horizontal="left" vertical="center"/>
    </xf>
    <xf numFmtId="0" fontId="8" fillId="0" borderId="0" xfId="3" applyFont="1" applyAlignment="1">
      <alignment horizontal="center" vertical="center"/>
    </xf>
    <xf numFmtId="0" fontId="8" fillId="0" borderId="0" xfId="3" applyFont="1" applyAlignment="1">
      <alignment horizontal="center" vertical="center" shrinkToFit="1"/>
    </xf>
    <xf numFmtId="164" fontId="8" fillId="0" borderId="0" xfId="1" applyFont="1" applyFill="1" applyBorder="1" applyAlignment="1">
      <alignment horizontal="center" vertical="center"/>
    </xf>
    <xf numFmtId="164" fontId="8" fillId="0" borderId="0" xfId="1" applyFont="1" applyFill="1" applyBorder="1" applyAlignment="1">
      <alignment vertical="center"/>
    </xf>
    <xf numFmtId="0" fontId="8" fillId="0" borderId="0" xfId="9" applyFont="1" applyAlignment="1">
      <alignment vertical="center"/>
    </xf>
    <xf numFmtId="0" fontId="8" fillId="0" borderId="0" xfId="9" applyFont="1" applyAlignment="1">
      <alignment horizontal="center" vertical="center"/>
    </xf>
    <xf numFmtId="164" fontId="8" fillId="0" borderId="0" xfId="1" applyFont="1" applyFill="1" applyAlignment="1">
      <alignment horizontal="center" vertical="center"/>
    </xf>
    <xf numFmtId="0" fontId="8" fillId="0" borderId="0" xfId="0" applyFont="1" applyAlignment="1">
      <alignment horizontal="left" vertical="center"/>
    </xf>
    <xf numFmtId="0" fontId="11" fillId="0" borderId="2" xfId="8" applyFont="1" applyBorder="1" applyAlignment="1">
      <alignment vertical="center"/>
    </xf>
    <xf numFmtId="164" fontId="8" fillId="0" borderId="10" xfId="0" applyNumberFormat="1" applyFont="1" applyBorder="1" applyAlignment="1">
      <alignment horizontal="right" vertical="center"/>
    </xf>
    <xf numFmtId="164" fontId="8" fillId="0" borderId="10" xfId="1" applyFont="1" applyFill="1" applyBorder="1" applyAlignment="1">
      <alignment horizontal="right" vertical="center"/>
    </xf>
    <xf numFmtId="0" fontId="8" fillId="0" borderId="11" xfId="0" applyFont="1" applyBorder="1" applyAlignment="1">
      <alignment vertical="center"/>
    </xf>
    <xf numFmtId="164" fontId="8" fillId="0" borderId="11" xfId="0" applyNumberFormat="1" applyFont="1" applyBorder="1" applyAlignment="1">
      <alignment horizontal="right" vertical="center"/>
    </xf>
    <xf numFmtId="164" fontId="8" fillId="0" borderId="11" xfId="1" applyFont="1" applyFill="1" applyBorder="1" applyAlignment="1">
      <alignment horizontal="right" vertical="center"/>
    </xf>
    <xf numFmtId="0" fontId="17" fillId="0" borderId="11" xfId="0" applyFont="1" applyBorder="1" applyAlignment="1">
      <alignment horizontal="left" vertical="center"/>
    </xf>
    <xf numFmtId="0" fontId="19" fillId="0" borderId="11" xfId="0" applyFont="1" applyBorder="1" applyAlignment="1">
      <alignment horizontal="center" vertical="center"/>
    </xf>
    <xf numFmtId="0" fontId="8" fillId="0" borderId="11" xfId="6" applyFont="1" applyBorder="1" applyAlignment="1">
      <alignment vertical="center" wrapText="1"/>
    </xf>
    <xf numFmtId="0" fontId="17" fillId="0" borderId="11" xfId="0" applyFont="1" applyBorder="1" applyAlignment="1">
      <alignment horizontal="center" vertical="center"/>
    </xf>
    <xf numFmtId="0" fontId="8" fillId="0" borderId="12" xfId="0" applyFont="1" applyBorder="1" applyAlignment="1">
      <alignment vertical="center"/>
    </xf>
    <xf numFmtId="0" fontId="8" fillId="0" borderId="12" xfId="6" applyFont="1" applyBorder="1" applyAlignment="1">
      <alignment vertical="center" wrapText="1"/>
    </xf>
    <xf numFmtId="0" fontId="17" fillId="0" borderId="12" xfId="0" applyFont="1" applyBorder="1" applyAlignment="1">
      <alignment horizontal="center" vertical="center"/>
    </xf>
    <xf numFmtId="164" fontId="8" fillId="0" borderId="12" xfId="1" applyFont="1" applyFill="1" applyBorder="1" applyAlignment="1">
      <alignment horizontal="right" vertical="center"/>
    </xf>
    <xf numFmtId="0" fontId="11" fillId="0" borderId="1" xfId="0" applyFont="1" applyBorder="1" applyAlignment="1">
      <alignment vertical="center"/>
    </xf>
    <xf numFmtId="0" fontId="11" fillId="0" borderId="33" xfId="0" applyFont="1" applyBorder="1" applyAlignment="1">
      <alignment vertical="center"/>
    </xf>
    <xf numFmtId="164" fontId="8" fillId="0" borderId="5" xfId="1" applyFont="1" applyFill="1" applyBorder="1" applyAlignment="1">
      <alignment horizontal="right" vertical="center"/>
    </xf>
    <xf numFmtId="0" fontId="8" fillId="0" borderId="10" xfId="0" applyFont="1" applyBorder="1" applyAlignment="1">
      <alignment vertical="center"/>
    </xf>
    <xf numFmtId="0" fontId="8" fillId="0" borderId="11" xfId="0" applyFont="1" applyBorder="1" applyAlignment="1">
      <alignment horizontal="left" vertical="center"/>
    </xf>
    <xf numFmtId="0" fontId="8" fillId="0" borderId="11" xfId="0" applyFont="1" applyBorder="1" applyAlignment="1">
      <alignment vertical="top" wrapText="1"/>
    </xf>
    <xf numFmtId="1" fontId="11" fillId="0" borderId="15" xfId="0" applyNumberFormat="1" applyFont="1" applyBorder="1" applyAlignment="1">
      <alignment horizontal="left" vertical="center" wrapText="1"/>
    </xf>
    <xf numFmtId="1" fontId="8" fillId="0" borderId="0" xfId="0" applyNumberFormat="1" applyFont="1" applyAlignment="1">
      <alignment horizontal="center" vertical="top" wrapText="1"/>
    </xf>
    <xf numFmtId="164" fontId="8" fillId="0" borderId="0" xfId="1" applyFont="1" applyFill="1" applyBorder="1" applyAlignment="1">
      <alignment horizontal="center" vertical="top" wrapText="1"/>
    </xf>
    <xf numFmtId="164" fontId="8" fillId="0" borderId="0" xfId="1" applyFont="1" applyFill="1" applyBorder="1" applyAlignment="1">
      <alignment horizontal="right" vertical="center"/>
    </xf>
    <xf numFmtId="164" fontId="8" fillId="0" borderId="16" xfId="1" applyFont="1" applyFill="1" applyBorder="1" applyAlignment="1">
      <alignment horizontal="right" vertical="center"/>
    </xf>
    <xf numFmtId="0" fontId="8" fillId="0" borderId="10" xfId="0" applyFont="1" applyBorder="1" applyAlignment="1">
      <alignment horizontal="left" vertical="center" wrapText="1"/>
    </xf>
    <xf numFmtId="1" fontId="8" fillId="0" borderId="10" xfId="0" applyNumberFormat="1" applyFont="1" applyBorder="1" applyAlignment="1">
      <alignment horizontal="left" vertical="center" wrapText="1"/>
    </xf>
    <xf numFmtId="1" fontId="8" fillId="0" borderId="10" xfId="0" applyNumberFormat="1" applyFont="1" applyBorder="1" applyAlignment="1">
      <alignment horizontal="center" vertical="center" wrapText="1"/>
    </xf>
    <xf numFmtId="0" fontId="8" fillId="0" borderId="10" xfId="0" applyFont="1" applyBorder="1" applyAlignment="1">
      <alignment vertical="center" wrapText="1"/>
    </xf>
    <xf numFmtId="1" fontId="8" fillId="0" borderId="11" xfId="0" quotePrefix="1" applyNumberFormat="1" applyFont="1" applyBorder="1" applyAlignment="1">
      <alignment horizontal="left" vertical="top" wrapText="1"/>
    </xf>
    <xf numFmtId="0" fontId="8" fillId="0" borderId="11" xfId="0" applyFont="1" applyBorder="1" applyAlignment="1">
      <alignment vertical="top"/>
    </xf>
    <xf numFmtId="0" fontId="17" fillId="0" borderId="11" xfId="0" applyFont="1" applyBorder="1" applyAlignment="1">
      <alignment vertical="center" wrapText="1"/>
    </xf>
    <xf numFmtId="0" fontId="12" fillId="0" borderId="11" xfId="0" applyFont="1" applyBorder="1" applyAlignment="1">
      <alignment horizontal="center" vertical="center"/>
    </xf>
    <xf numFmtId="0" fontId="12" fillId="0" borderId="12" xfId="0" applyFont="1" applyBorder="1" applyAlignment="1">
      <alignment horizontal="center" vertical="center"/>
    </xf>
    <xf numFmtId="0" fontId="17" fillId="0" borderId="12" xfId="0" applyFont="1" applyBorder="1" applyAlignment="1">
      <alignment horizontal="left" vertical="center"/>
    </xf>
    <xf numFmtId="0" fontId="8" fillId="0" borderId="12" xfId="6" applyFont="1" applyBorder="1" applyAlignment="1">
      <alignment horizontal="left" vertical="center" wrapText="1"/>
    </xf>
    <xf numFmtId="164" fontId="8" fillId="0" borderId="11" xfId="1" applyFont="1" applyFill="1" applyBorder="1" applyAlignment="1">
      <alignment horizontal="right" vertical="center" wrapText="1"/>
    </xf>
    <xf numFmtId="164" fontId="8" fillId="0" borderId="12" xfId="1" applyFont="1" applyFill="1" applyBorder="1" applyAlignment="1">
      <alignment horizontal="right" vertical="center" wrapText="1"/>
    </xf>
    <xf numFmtId="3" fontId="8" fillId="0" borderId="11" xfId="0" applyNumberFormat="1" applyFont="1" applyBorder="1" applyAlignment="1">
      <alignment horizontal="center" vertical="center"/>
    </xf>
    <xf numFmtId="0" fontId="8" fillId="0" borderId="12" xfId="0" applyFont="1" applyBorder="1" applyAlignment="1">
      <alignment horizontal="left" vertical="center"/>
    </xf>
    <xf numFmtId="3" fontId="8" fillId="0" borderId="12" xfId="0" applyNumberFormat="1" applyFont="1" applyBorder="1" applyAlignment="1">
      <alignment horizontal="center" vertical="center"/>
    </xf>
    <xf numFmtId="164" fontId="11" fillId="0" borderId="6" xfId="1" applyFont="1" applyFill="1" applyBorder="1" applyAlignment="1">
      <alignment horizontal="right" vertical="center" shrinkToFit="1"/>
    </xf>
    <xf numFmtId="164" fontId="8" fillId="0" borderId="10" xfId="1" applyFont="1" applyFill="1" applyBorder="1" applyAlignment="1" applyProtection="1">
      <alignment horizontal="right" vertical="center"/>
      <protection locked="0"/>
    </xf>
    <xf numFmtId="0" fontId="19" fillId="0" borderId="12" xfId="0" applyFont="1" applyBorder="1" applyAlignment="1">
      <alignment horizontal="center" vertical="center"/>
    </xf>
    <xf numFmtId="0" fontId="19" fillId="0" borderId="12" xfId="0" applyFont="1" applyBorder="1" applyAlignment="1">
      <alignment horizontal="left" vertical="center"/>
    </xf>
    <xf numFmtId="0" fontId="19" fillId="0" borderId="12" xfId="0" applyFont="1" applyBorder="1" applyAlignment="1">
      <alignment vertical="center"/>
    </xf>
    <xf numFmtId="164" fontId="8" fillId="0" borderId="12" xfId="1" applyFont="1" applyFill="1" applyBorder="1" applyAlignment="1" applyProtection="1">
      <alignment horizontal="right" vertical="center"/>
      <protection locked="0"/>
    </xf>
    <xf numFmtId="164" fontId="11" fillId="0" borderId="6" xfId="1" applyFont="1" applyFill="1" applyBorder="1" applyAlignment="1">
      <alignment vertical="center"/>
    </xf>
    <xf numFmtId="3" fontId="8" fillId="0" borderId="11" xfId="0" applyNumberFormat="1" applyFont="1" applyBorder="1" applyAlignment="1">
      <alignment horizontal="left" vertical="center" wrapText="1"/>
    </xf>
    <xf numFmtId="3" fontId="8" fillId="0" borderId="11" xfId="0" applyNumberFormat="1" applyFont="1" applyBorder="1" applyAlignment="1">
      <alignment horizontal="left" vertical="center"/>
    </xf>
    <xf numFmtId="3" fontId="8" fillId="0" borderId="12" xfId="0" applyNumberFormat="1" applyFont="1" applyBorder="1" applyAlignment="1">
      <alignment horizontal="left" vertical="center"/>
    </xf>
    <xf numFmtId="0" fontId="11" fillId="0" borderId="11" xfId="0" applyFont="1" applyBorder="1" applyAlignment="1">
      <alignment horizontal="center" vertical="center" wrapText="1"/>
    </xf>
    <xf numFmtId="0" fontId="11" fillId="0" borderId="11" xfId="0" applyFont="1" applyBorder="1" applyAlignment="1">
      <alignment horizontal="center" vertical="center"/>
    </xf>
    <xf numFmtId="0" fontId="11" fillId="0" borderId="11" xfId="0" applyFont="1" applyBorder="1" applyAlignment="1">
      <alignment vertical="center" wrapText="1"/>
    </xf>
    <xf numFmtId="164" fontId="11" fillId="0" borderId="11" xfId="1" applyFont="1" applyFill="1" applyBorder="1" applyAlignment="1">
      <alignment horizontal="center" vertical="center"/>
    </xf>
    <xf numFmtId="164" fontId="11" fillId="0" borderId="11" xfId="1" applyFont="1" applyFill="1" applyBorder="1" applyAlignment="1">
      <alignment horizontal="right" vertical="center"/>
    </xf>
    <xf numFmtId="0" fontId="5" fillId="0" borderId="0" xfId="0" applyFont="1"/>
    <xf numFmtId="0" fontId="11" fillId="0" borderId="10" xfId="0" applyFont="1" applyBorder="1" applyAlignment="1">
      <alignment horizontal="center" vertical="center" wrapText="1"/>
    </xf>
    <xf numFmtId="0" fontId="11" fillId="0" borderId="10" xfId="0" applyFont="1" applyBorder="1" applyAlignment="1">
      <alignment vertical="center" wrapText="1"/>
    </xf>
    <xf numFmtId="164" fontId="11" fillId="0" borderId="10" xfId="1" applyFont="1" applyFill="1" applyBorder="1" applyAlignment="1">
      <alignment horizontal="center" vertical="center" wrapText="1"/>
    </xf>
    <xf numFmtId="164" fontId="11" fillId="0" borderId="10" xfId="1" applyFont="1" applyFill="1" applyBorder="1" applyAlignment="1">
      <alignment horizontal="right" vertical="center"/>
    </xf>
    <xf numFmtId="0" fontId="11" fillId="0" borderId="10" xfId="0" applyFont="1" applyBorder="1" applyAlignment="1">
      <alignment vertical="center"/>
    </xf>
    <xf numFmtId="164" fontId="11" fillId="0" borderId="11" xfId="1" applyFont="1" applyFill="1" applyBorder="1" applyAlignment="1">
      <alignment horizontal="center" vertical="center" wrapText="1"/>
    </xf>
    <xf numFmtId="0" fontId="11" fillId="0" borderId="11" xfId="0" applyFont="1" applyBorder="1" applyAlignment="1">
      <alignment vertical="center"/>
    </xf>
    <xf numFmtId="3" fontId="11" fillId="0" borderId="11" xfId="0" applyNumberFormat="1" applyFont="1" applyBorder="1" applyAlignment="1">
      <alignment horizontal="center" vertical="center"/>
    </xf>
    <xf numFmtId="3" fontId="11" fillId="0" borderId="11" xfId="0" applyNumberFormat="1" applyFont="1" applyBorder="1" applyAlignment="1">
      <alignment horizontal="left" vertical="center" wrapText="1"/>
    </xf>
    <xf numFmtId="0" fontId="12" fillId="0" borderId="11" xfId="0" applyFont="1" applyBorder="1" applyAlignment="1">
      <alignment vertical="center" wrapText="1"/>
    </xf>
    <xf numFmtId="0" fontId="14" fillId="0" borderId="28" xfId="6" applyFont="1" applyBorder="1" applyAlignment="1">
      <alignment horizontal="center" vertical="center" wrapText="1"/>
    </xf>
    <xf numFmtId="0" fontId="8" fillId="0" borderId="16" xfId="0" applyFont="1" applyBorder="1" applyAlignment="1">
      <alignment horizontal="center" vertical="center" wrapText="1"/>
    </xf>
    <xf numFmtId="0" fontId="8" fillId="0" borderId="16" xfId="0" applyFont="1" applyBorder="1" applyAlignment="1">
      <alignment horizontal="center" vertical="center"/>
    </xf>
    <xf numFmtId="0" fontId="8" fillId="0" borderId="16" xfId="0" applyFont="1" applyBorder="1" applyAlignment="1">
      <alignment vertical="center" wrapText="1"/>
    </xf>
    <xf numFmtId="164" fontId="8" fillId="0" borderId="16" xfId="1" applyFont="1" applyFill="1" applyBorder="1" applyAlignment="1">
      <alignment horizontal="center" vertical="center"/>
    </xf>
    <xf numFmtId="0" fontId="11" fillId="0" borderId="18" xfId="0" applyFont="1" applyBorder="1" applyAlignment="1">
      <alignment horizontal="center" vertical="center" wrapText="1"/>
    </xf>
    <xf numFmtId="0" fontId="11" fillId="0" borderId="18" xfId="0" applyFont="1" applyBorder="1" applyAlignment="1">
      <alignment vertical="center" wrapText="1"/>
    </xf>
    <xf numFmtId="164" fontId="11" fillId="0" borderId="18" xfId="1" applyFont="1" applyFill="1" applyBorder="1" applyAlignment="1">
      <alignment horizontal="center" vertical="center" wrapText="1"/>
    </xf>
    <xf numFmtId="164" fontId="11" fillId="0" borderId="18" xfId="1" applyFont="1" applyFill="1" applyBorder="1" applyAlignment="1">
      <alignment horizontal="right" vertical="center"/>
    </xf>
    <xf numFmtId="0" fontId="8" fillId="0" borderId="13" xfId="0" applyFont="1" applyBorder="1" applyAlignment="1">
      <alignment horizontal="center" vertical="center" wrapText="1"/>
    </xf>
    <xf numFmtId="0" fontId="8" fillId="0" borderId="13" xfId="0" applyFont="1" applyBorder="1" applyAlignment="1">
      <alignment vertical="center" wrapText="1"/>
    </xf>
    <xf numFmtId="164" fontId="8" fillId="0" borderId="13" xfId="1" applyFont="1" applyFill="1" applyBorder="1" applyAlignment="1">
      <alignment horizontal="right" vertical="center"/>
    </xf>
    <xf numFmtId="0" fontId="8" fillId="0" borderId="18" xfId="0" applyFont="1" applyBorder="1" applyAlignment="1">
      <alignment horizontal="center" vertical="center" wrapText="1"/>
    </xf>
    <xf numFmtId="0" fontId="11" fillId="0" borderId="18" xfId="0" applyFont="1" applyBorder="1" applyAlignment="1">
      <alignment horizontal="center" vertical="center"/>
    </xf>
    <xf numFmtId="0" fontId="8" fillId="0" borderId="18" xfId="0" applyFont="1" applyBorder="1" applyAlignment="1">
      <alignment vertical="center" wrapText="1"/>
    </xf>
    <xf numFmtId="0" fontId="8" fillId="0" borderId="18" xfId="0" applyFont="1" applyBorder="1" applyAlignment="1">
      <alignment horizontal="center" vertical="center"/>
    </xf>
    <xf numFmtId="164" fontId="8" fillId="0" borderId="18" xfId="1" applyFont="1" applyFill="1" applyBorder="1" applyAlignment="1">
      <alignment horizontal="center" vertical="center"/>
    </xf>
    <xf numFmtId="164" fontId="8" fillId="0" borderId="18" xfId="1" applyFont="1" applyFill="1" applyBorder="1" applyAlignment="1">
      <alignment horizontal="right" vertical="center"/>
    </xf>
    <xf numFmtId="9" fontId="8" fillId="0" borderId="11" xfId="1" applyNumberFormat="1" applyFont="1" applyFill="1" applyBorder="1" applyAlignment="1">
      <alignment horizontal="center" vertical="center"/>
    </xf>
    <xf numFmtId="0" fontId="7" fillId="0" borderId="0" xfId="14" applyFont="1"/>
    <xf numFmtId="0" fontId="25" fillId="0" borderId="56" xfId="14" applyFont="1" applyBorder="1" applyAlignment="1">
      <alignment vertical="center"/>
    </xf>
    <xf numFmtId="0" fontId="7" fillId="0" borderId="0" xfId="14" applyFont="1" applyAlignment="1">
      <alignment vertical="center"/>
    </xf>
    <xf numFmtId="0" fontId="25" fillId="0" borderId="57" xfId="14" applyFont="1" applyBorder="1" applyAlignment="1">
      <alignment horizontal="left" vertical="center"/>
    </xf>
    <xf numFmtId="0" fontId="7" fillId="0" borderId="0" xfId="14" applyFont="1" applyAlignment="1">
      <alignment horizontal="left" vertical="center"/>
    </xf>
    <xf numFmtId="0" fontId="7" fillId="0" borderId="56" xfId="14" applyFont="1" applyBorder="1" applyAlignment="1">
      <alignment vertical="center"/>
    </xf>
    <xf numFmtId="0" fontId="7" fillId="0" borderId="57" xfId="14" applyFont="1" applyBorder="1" applyAlignment="1">
      <alignment vertical="center"/>
    </xf>
    <xf numFmtId="0" fontId="24" fillId="0" borderId="56" xfId="14" applyFont="1" applyBorder="1" applyAlignment="1">
      <alignment vertical="center"/>
    </xf>
    <xf numFmtId="0" fontId="23" fillId="0" borderId="57" xfId="14" applyFont="1" applyBorder="1" applyAlignment="1">
      <alignment horizontal="left" vertical="center"/>
    </xf>
    <xf numFmtId="0" fontId="7" fillId="0" borderId="58" xfId="14" applyFont="1" applyBorder="1" applyAlignment="1">
      <alignment vertical="center"/>
    </xf>
    <xf numFmtId="0" fontId="25" fillId="0" borderId="57" xfId="14" applyFont="1" applyBorder="1" applyAlignment="1">
      <alignment vertical="center"/>
    </xf>
    <xf numFmtId="4" fontId="25" fillId="0" borderId="57" xfId="14" applyNumberFormat="1" applyFont="1" applyBorder="1" applyAlignment="1">
      <alignment vertical="center"/>
    </xf>
    <xf numFmtId="43" fontId="7" fillId="0" borderId="0" xfId="17">
      <alignment wrapText="1"/>
    </xf>
    <xf numFmtId="4" fontId="7" fillId="0" borderId="0" xfId="14" applyNumberFormat="1" applyFont="1" applyAlignment="1">
      <alignment vertical="center"/>
    </xf>
    <xf numFmtId="43" fontId="7" fillId="0" borderId="0" xfId="18" applyFont="1" applyBorder="1" applyAlignment="1">
      <alignment vertical="center"/>
    </xf>
    <xf numFmtId="169" fontId="7" fillId="0" borderId="0" xfId="14" applyNumberFormat="1" applyFont="1" applyAlignment="1">
      <alignment vertical="center"/>
    </xf>
    <xf numFmtId="43" fontId="7" fillId="0" borderId="0" xfId="18" applyFont="1" applyBorder="1" applyAlignment="1">
      <alignment horizontal="center" vertical="center"/>
    </xf>
    <xf numFmtId="0" fontId="25" fillId="0" borderId="56" xfId="14" applyFont="1" applyBorder="1" applyAlignment="1">
      <alignment horizontal="right" vertical="center"/>
    </xf>
    <xf numFmtId="0" fontId="24" fillId="0" borderId="56" xfId="14" applyFont="1" applyBorder="1"/>
    <xf numFmtId="43" fontId="24" fillId="0" borderId="59" xfId="14" applyNumberFormat="1" applyFont="1" applyBorder="1" applyAlignment="1">
      <alignment vertical="center"/>
    </xf>
    <xf numFmtId="0" fontId="7" fillId="0" borderId="0" xfId="14" applyFont="1" applyAlignment="1">
      <alignment horizontal="center"/>
    </xf>
    <xf numFmtId="43" fontId="24" fillId="0" borderId="57" xfId="14" applyNumberFormat="1" applyFont="1" applyBorder="1" applyAlignment="1">
      <alignment vertical="center"/>
    </xf>
    <xf numFmtId="43" fontId="7" fillId="0" borderId="0" xfId="14" applyNumberFormat="1" applyFont="1"/>
    <xf numFmtId="0" fontId="30" fillId="0" borderId="56" xfId="14" applyFont="1" applyBorder="1" applyAlignment="1">
      <alignment vertical="center"/>
    </xf>
    <xf numFmtId="43" fontId="24" fillId="3" borderId="59" xfId="14" applyNumberFormat="1" applyFont="1" applyFill="1" applyBorder="1" applyAlignment="1">
      <alignment vertical="center"/>
    </xf>
    <xf numFmtId="0" fontId="29" fillId="0" borderId="56" xfId="14" applyFont="1" applyBorder="1" applyAlignment="1">
      <alignment vertical="center"/>
    </xf>
    <xf numFmtId="164" fontId="31" fillId="0" borderId="59" xfId="14" applyNumberFormat="1" applyFont="1" applyBorder="1"/>
    <xf numFmtId="0" fontId="31" fillId="0" borderId="56" xfId="14" applyFont="1" applyBorder="1"/>
    <xf numFmtId="43" fontId="7" fillId="0" borderId="0" xfId="18" applyFont="1"/>
    <xf numFmtId="43" fontId="23" fillId="0" borderId="57" xfId="14" applyNumberFormat="1" applyFont="1" applyBorder="1" applyAlignment="1">
      <alignment vertical="center"/>
    </xf>
    <xf numFmtId="0" fontId="23" fillId="0" borderId="56" xfId="14" applyFont="1" applyBorder="1" applyAlignment="1">
      <alignment vertical="center"/>
    </xf>
    <xf numFmtId="43" fontId="23" fillId="0" borderId="59" xfId="14" applyNumberFormat="1" applyFont="1" applyBorder="1" applyAlignment="1">
      <alignment vertical="center"/>
    </xf>
    <xf numFmtId="0" fontId="30" fillId="0" borderId="56" xfId="14" applyFont="1" applyBorder="1"/>
    <xf numFmtId="164" fontId="7" fillId="0" borderId="0" xfId="14" applyNumberFormat="1" applyFont="1"/>
    <xf numFmtId="0" fontId="30" fillId="0" borderId="56" xfId="14" applyFont="1" applyBorder="1" applyAlignment="1">
      <alignment horizontal="left" vertical="center"/>
    </xf>
    <xf numFmtId="0" fontId="32" fillId="0" borderId="0" xfId="16" applyFont="1"/>
    <xf numFmtId="0" fontId="32" fillId="0" borderId="0" xfId="16" applyFont="1" applyAlignment="1">
      <alignment vertical="center"/>
    </xf>
    <xf numFmtId="0" fontId="33" fillId="0" borderId="0" xfId="16" applyFont="1"/>
    <xf numFmtId="0" fontId="2" fillId="0" borderId="0" xfId="14"/>
    <xf numFmtId="164" fontId="24" fillId="2" borderId="59" xfId="1" applyFont="1" applyFill="1" applyBorder="1" applyAlignment="1">
      <alignment vertical="center"/>
    </xf>
    <xf numFmtId="166" fontId="7" fillId="0" borderId="0" xfId="14" applyNumberFormat="1" applyFont="1" applyAlignment="1">
      <alignment vertical="center"/>
    </xf>
    <xf numFmtId="0" fontId="25" fillId="3" borderId="57" xfId="14" applyFont="1" applyFill="1" applyBorder="1" applyAlignment="1">
      <alignment vertical="center"/>
    </xf>
    <xf numFmtId="0" fontId="16" fillId="0" borderId="0" xfId="74" applyFont="1" applyAlignment="1">
      <alignment vertical="center"/>
    </xf>
    <xf numFmtId="0" fontId="17" fillId="0" borderId="0" xfId="74" applyFont="1" applyAlignment="1">
      <alignment vertical="center"/>
    </xf>
    <xf numFmtId="0" fontId="17" fillId="0" borderId="0" xfId="9" applyFont="1" applyAlignment="1">
      <alignment vertical="center"/>
    </xf>
    <xf numFmtId="0" fontId="17" fillId="0" borderId="0" xfId="74" applyFont="1" applyAlignment="1">
      <alignment horizontal="center" vertical="center"/>
    </xf>
    <xf numFmtId="0" fontId="17" fillId="0" borderId="0" xfId="9" applyFont="1" applyAlignment="1">
      <alignment horizontal="right" vertical="center"/>
    </xf>
    <xf numFmtId="0" fontId="16" fillId="0" borderId="0" xfId="9" applyFont="1" applyAlignment="1">
      <alignment vertical="center"/>
    </xf>
    <xf numFmtId="0" fontId="16" fillId="0" borderId="0" xfId="9" applyFont="1" applyAlignment="1">
      <alignment horizontal="right" vertical="center"/>
    </xf>
    <xf numFmtId="0" fontId="11" fillId="0" borderId="15" xfId="0" applyFont="1" applyBorder="1" applyAlignment="1">
      <alignment horizontal="left" vertical="center"/>
    </xf>
    <xf numFmtId="0" fontId="11" fillId="0" borderId="51" xfId="0" applyFont="1" applyBorder="1" applyAlignment="1">
      <alignment horizontal="right" vertical="center"/>
    </xf>
    <xf numFmtId="0" fontId="8" fillId="0" borderId="15" xfId="9" applyFont="1" applyBorder="1" applyAlignment="1">
      <alignment vertical="center"/>
    </xf>
    <xf numFmtId="0" fontId="8" fillId="0" borderId="51" xfId="9" applyFont="1" applyBorder="1" applyAlignment="1">
      <alignment horizontal="right" vertical="center"/>
    </xf>
    <xf numFmtId="0" fontId="8" fillId="0" borderId="15" xfId="0" applyFont="1" applyBorder="1" applyAlignment="1">
      <alignment horizontal="left" vertical="center"/>
    </xf>
    <xf numFmtId="0" fontId="8" fillId="0" borderId="51" xfId="0" applyFont="1" applyBorder="1" applyAlignment="1">
      <alignment horizontal="right" vertical="center"/>
    </xf>
    <xf numFmtId="0" fontId="11" fillId="0" borderId="7" xfId="0" applyFont="1" applyBorder="1" applyAlignment="1">
      <alignment horizontal="left" vertical="center"/>
    </xf>
    <xf numFmtId="0" fontId="11" fillId="0" borderId="36" xfId="0" applyFont="1" applyBorder="1" applyAlignment="1">
      <alignment horizontal="right" vertical="center"/>
    </xf>
    <xf numFmtId="164" fontId="8" fillId="0" borderId="0" xfId="1" applyFont="1" applyFill="1" applyAlignment="1">
      <alignment vertical="center" wrapText="1"/>
    </xf>
    <xf numFmtId="43" fontId="13" fillId="0" borderId="10" xfId="18" applyFont="1" applyFill="1" applyBorder="1" applyAlignment="1">
      <alignment horizontal="center" vertical="center" wrapText="1"/>
    </xf>
    <xf numFmtId="43" fontId="13" fillId="0" borderId="66" xfId="18" applyFont="1" applyFill="1" applyBorder="1" applyAlignment="1">
      <alignment horizontal="center" vertical="center" wrapText="1"/>
    </xf>
    <xf numFmtId="0" fontId="11" fillId="0" borderId="61" xfId="8" applyFont="1" applyBorder="1" applyAlignment="1">
      <alignment vertical="center"/>
    </xf>
    <xf numFmtId="0" fontId="11" fillId="0" borderId="1" xfId="8" applyFont="1" applyBorder="1" applyAlignment="1">
      <alignment vertical="center"/>
    </xf>
    <xf numFmtId="0" fontId="11" fillId="0" borderId="1" xfId="8" applyFont="1" applyBorder="1" applyAlignment="1">
      <alignment horizontal="left" vertical="center" wrapText="1"/>
    </xf>
    <xf numFmtId="0" fontId="11" fillId="0" borderId="1" xfId="8" applyFont="1" applyBorder="1">
      <alignment vertical="top" wrapText="1"/>
    </xf>
    <xf numFmtId="0" fontId="15" fillId="0" borderId="1" xfId="8" applyFont="1" applyBorder="1" applyAlignment="1">
      <alignment horizontal="center" vertical="center" wrapText="1"/>
    </xf>
    <xf numFmtId="0" fontId="15" fillId="0" borderId="33" xfId="8" applyFont="1" applyBorder="1" applyAlignment="1">
      <alignment horizontal="center" vertical="center" wrapText="1"/>
    </xf>
    <xf numFmtId="0" fontId="11" fillId="0" borderId="0" xfId="8" applyFont="1">
      <alignment vertical="top" wrapText="1"/>
    </xf>
    <xf numFmtId="0" fontId="11" fillId="0" borderId="15" xfId="8" applyFont="1" applyBorder="1" applyAlignment="1">
      <alignment vertical="center"/>
    </xf>
    <xf numFmtId="0" fontId="11" fillId="0" borderId="51" xfId="8" applyFont="1" applyBorder="1" applyAlignment="1">
      <alignment vertical="center"/>
    </xf>
    <xf numFmtId="0" fontId="15" fillId="0" borderId="51" xfId="8" applyFont="1" applyBorder="1" applyAlignment="1">
      <alignment horizontal="center" vertical="center" wrapText="1"/>
    </xf>
    <xf numFmtId="0" fontId="11" fillId="0" borderId="15" xfId="8" applyFont="1" applyBorder="1" applyAlignment="1">
      <alignment horizontal="left" vertical="center"/>
    </xf>
    <xf numFmtId="0" fontId="11" fillId="0" borderId="0" xfId="8" applyFont="1" applyAlignment="1">
      <alignment horizontal="left" vertical="center" wrapText="1"/>
    </xf>
    <xf numFmtId="4" fontId="14" fillId="0" borderId="0" xfId="31" applyNumberFormat="1" applyFont="1"/>
    <xf numFmtId="0" fontId="11" fillId="0" borderId="62" xfId="8" applyFont="1" applyBorder="1" applyAlignment="1">
      <alignment horizontal="right" vertical="center" wrapText="1"/>
    </xf>
    <xf numFmtId="166" fontId="11" fillId="0" borderId="63" xfId="8" applyNumberFormat="1" applyFont="1" applyBorder="1" applyAlignment="1">
      <alignment horizontal="right" vertical="center" wrapText="1"/>
    </xf>
    <xf numFmtId="0" fontId="11" fillId="0" borderId="7" xfId="8" applyFont="1" applyBorder="1" applyAlignment="1">
      <alignment vertical="center"/>
    </xf>
    <xf numFmtId="0" fontId="14" fillId="0" borderId="64" xfId="8" applyFont="1" applyBorder="1" applyAlignment="1">
      <alignment horizontal="left" vertical="center"/>
    </xf>
    <xf numFmtId="0" fontId="14" fillId="0" borderId="36" xfId="8" applyFont="1" applyBorder="1" applyAlignment="1">
      <alignment horizontal="left" vertical="center"/>
    </xf>
    <xf numFmtId="0" fontId="16" fillId="0" borderId="0" xfId="64" applyFont="1"/>
    <xf numFmtId="0" fontId="17" fillId="0" borderId="4" xfId="64" applyFont="1" applyBorder="1" applyAlignment="1">
      <alignment horizontal="center" vertical="center" wrapText="1"/>
    </xf>
    <xf numFmtId="0" fontId="17" fillId="0" borderId="43" xfId="64" applyFont="1" applyBorder="1" applyAlignment="1">
      <alignment horizontal="left" vertical="center" wrapText="1"/>
    </xf>
    <xf numFmtId="0" fontId="17" fillId="0" borderId="43" xfId="64" applyFont="1" applyBorder="1" applyAlignment="1">
      <alignment horizontal="center" vertical="center" wrapText="1"/>
    </xf>
    <xf numFmtId="0" fontId="17" fillId="0" borderId="43" xfId="64" applyFont="1" applyBorder="1"/>
    <xf numFmtId="0" fontId="17" fillId="0" borderId="71" xfId="64" applyFont="1" applyBorder="1"/>
    <xf numFmtId="0" fontId="17" fillId="0" borderId="0" xfId="64" applyFont="1"/>
    <xf numFmtId="0" fontId="8" fillId="0" borderId="15" xfId="31" applyFont="1" applyBorder="1"/>
    <xf numFmtId="0" fontId="8" fillId="0" borderId="0" xfId="31" applyFont="1" applyAlignment="1">
      <alignment horizontal="left"/>
    </xf>
    <xf numFmtId="0" fontId="8" fillId="0" borderId="0" xfId="31" applyFont="1"/>
    <xf numFmtId="43" fontId="8" fillId="0" borderId="51" xfId="17" applyFont="1" applyBorder="1">
      <alignment wrapText="1"/>
    </xf>
    <xf numFmtId="0" fontId="8" fillId="0" borderId="51" xfId="31" applyFont="1" applyBorder="1"/>
    <xf numFmtId="0" fontId="8" fillId="0" borderId="51" xfId="8" applyFont="1" applyBorder="1" applyAlignment="1">
      <alignment vertical="center" wrapText="1"/>
    </xf>
    <xf numFmtId="0" fontId="35" fillId="0" borderId="15" xfId="31" applyFont="1" applyBorder="1" applyAlignment="1">
      <alignment horizontal="center" vertical="center"/>
    </xf>
    <xf numFmtId="0" fontId="35" fillId="2" borderId="0" xfId="31" applyFont="1" applyFill="1" applyAlignment="1">
      <alignment horizontal="left" vertical="center"/>
    </xf>
    <xf numFmtId="0" fontId="8" fillId="2" borderId="0" xfId="31" applyFont="1" applyFill="1" applyAlignment="1">
      <alignment horizontal="center" vertical="center"/>
    </xf>
    <xf numFmtId="0" fontId="8" fillId="0" borderId="0" xfId="31" applyFont="1" applyAlignment="1">
      <alignment horizontal="center" vertical="center"/>
    </xf>
    <xf numFmtId="0" fontId="8" fillId="0" borderId="51" xfId="31" applyFont="1" applyBorder="1" applyAlignment="1">
      <alignment horizontal="center" vertical="center"/>
    </xf>
    <xf numFmtId="0" fontId="8" fillId="0" borderId="6" xfId="31" applyFont="1" applyBorder="1" applyAlignment="1">
      <alignment horizontal="center" vertical="center"/>
    </xf>
    <xf numFmtId="0" fontId="8" fillId="0" borderId="2" xfId="31" applyFont="1" applyBorder="1" applyAlignment="1">
      <alignment horizontal="center" vertical="center"/>
    </xf>
    <xf numFmtId="0" fontId="8" fillId="0" borderId="16" xfId="31" applyFont="1" applyBorder="1" applyAlignment="1">
      <alignment horizontal="center" vertical="center"/>
    </xf>
    <xf numFmtId="0" fontId="8" fillId="0" borderId="10" xfId="31" applyFont="1" applyBorder="1" applyAlignment="1">
      <alignment horizontal="center" vertical="center"/>
    </xf>
    <xf numFmtId="43" fontId="8" fillId="0" borderId="34" xfId="31" applyNumberFormat="1" applyFont="1" applyBorder="1" applyAlignment="1">
      <alignment vertical="center"/>
    </xf>
    <xf numFmtId="0" fontId="8" fillId="0" borderId="10" xfId="31" applyFont="1" applyBorder="1"/>
    <xf numFmtId="0" fontId="8" fillId="0" borderId="16" xfId="31" applyFont="1" applyBorder="1"/>
    <xf numFmtId="0" fontId="8" fillId="0" borderId="66" xfId="31" applyFont="1" applyBorder="1" applyAlignment="1">
      <alignment horizontal="center" vertical="center"/>
    </xf>
    <xf numFmtId="43" fontId="8" fillId="0" borderId="35" xfId="27" applyFont="1" applyFill="1" applyBorder="1" applyAlignment="1">
      <alignment vertical="center"/>
    </xf>
    <xf numFmtId="0" fontId="8" fillId="0" borderId="12" xfId="31" applyFont="1" applyBorder="1"/>
    <xf numFmtId="0" fontId="8" fillId="0" borderId="15" xfId="31" applyFont="1" applyBorder="1" applyAlignment="1">
      <alignment vertical="center"/>
    </xf>
    <xf numFmtId="0" fontId="8" fillId="0" borderId="17" xfId="31" applyFont="1" applyBorder="1" applyAlignment="1">
      <alignment vertical="center"/>
    </xf>
    <xf numFmtId="43" fontId="8" fillId="0" borderId="18" xfId="31" applyNumberFormat="1" applyFont="1" applyBorder="1" applyAlignment="1">
      <alignment vertical="center"/>
    </xf>
    <xf numFmtId="43" fontId="8" fillId="0" borderId="16" xfId="31" applyNumberFormat="1" applyFont="1" applyBorder="1" applyAlignment="1">
      <alignment vertical="center"/>
    </xf>
    <xf numFmtId="43" fontId="8" fillId="0" borderId="0" xfId="18" applyFont="1" applyFill="1"/>
    <xf numFmtId="0" fontId="8" fillId="0" borderId="69" xfId="31" applyFont="1" applyBorder="1" applyAlignment="1">
      <alignment vertical="center"/>
    </xf>
    <xf numFmtId="0" fontId="8" fillId="0" borderId="66" xfId="31" applyFont="1" applyBorder="1" applyAlignment="1">
      <alignment vertical="center"/>
    </xf>
    <xf numFmtId="0" fontId="8" fillId="0" borderId="16" xfId="31" applyFont="1" applyBorder="1" applyAlignment="1">
      <alignment vertical="center"/>
    </xf>
    <xf numFmtId="43" fontId="8" fillId="0" borderId="69" xfId="31" applyNumberFormat="1" applyFont="1" applyBorder="1" applyAlignment="1">
      <alignment vertical="center"/>
    </xf>
    <xf numFmtId="164" fontId="8" fillId="0" borderId="69" xfId="1" applyFont="1" applyFill="1" applyBorder="1" applyAlignment="1">
      <alignment vertical="center"/>
    </xf>
    <xf numFmtId="0" fontId="8" fillId="0" borderId="0" xfId="31" applyFont="1" applyAlignment="1">
      <alignment vertical="center"/>
    </xf>
    <xf numFmtId="0" fontId="8" fillId="0" borderId="12" xfId="31" applyFont="1" applyBorder="1" applyAlignment="1">
      <alignment horizontal="center" vertical="center"/>
    </xf>
    <xf numFmtId="0" fontId="8" fillId="0" borderId="35" xfId="31" applyFont="1" applyBorder="1" applyAlignment="1">
      <alignment vertical="center"/>
    </xf>
    <xf numFmtId="164" fontId="8" fillId="0" borderId="12" xfId="1" applyFont="1" applyFill="1" applyBorder="1" applyAlignment="1">
      <alignment vertical="center"/>
    </xf>
    <xf numFmtId="43" fontId="8" fillId="0" borderId="0" xfId="18" applyFont="1" applyFill="1" applyAlignment="1">
      <alignment vertical="center"/>
    </xf>
    <xf numFmtId="0" fontId="8" fillId="2" borderId="43" xfId="31" applyFont="1" applyFill="1" applyBorder="1" applyAlignment="1">
      <alignment vertical="center"/>
    </xf>
    <xf numFmtId="164" fontId="8" fillId="0" borderId="70" xfId="1" applyFont="1" applyFill="1" applyBorder="1" applyAlignment="1">
      <alignment vertical="center"/>
    </xf>
    <xf numFmtId="43" fontId="8" fillId="0" borderId="0" xfId="17" applyFont="1" applyBorder="1" applyAlignment="1">
      <alignment horizontal="left" vertical="center" wrapText="1"/>
    </xf>
    <xf numFmtId="167" fontId="8" fillId="0" borderId="0" xfId="8" applyNumberFormat="1" applyFont="1" applyAlignment="1">
      <alignment horizontal="right" vertical="center"/>
    </xf>
    <xf numFmtId="4" fontId="13" fillId="0" borderId="0" xfId="31" applyNumberFormat="1" applyFont="1"/>
    <xf numFmtId="0" fontId="11" fillId="0" borderId="64" xfId="13" applyFont="1" applyBorder="1"/>
    <xf numFmtId="43" fontId="8" fillId="0" borderId="64" xfId="17" applyFont="1" applyBorder="1" applyAlignment="1">
      <alignment horizontal="left" vertical="center" wrapText="1"/>
    </xf>
    <xf numFmtId="167" fontId="8" fillId="0" borderId="64" xfId="8" applyNumberFormat="1" applyFont="1" applyBorder="1" applyAlignment="1">
      <alignment horizontal="right" vertical="center"/>
    </xf>
    <xf numFmtId="0" fontId="35" fillId="0" borderId="4" xfId="31" applyFont="1" applyBorder="1" applyAlignment="1">
      <alignment horizontal="center" vertical="center"/>
    </xf>
    <xf numFmtId="0" fontId="35" fillId="0" borderId="43" xfId="31" applyFont="1" applyBorder="1" applyAlignment="1">
      <alignment horizontal="left" vertical="center"/>
    </xf>
    <xf numFmtId="0" fontId="8" fillId="0" borderId="43" xfId="31" applyFont="1" applyBorder="1" applyAlignment="1">
      <alignment horizontal="center" vertical="center"/>
    </xf>
    <xf numFmtId="0" fontId="8" fillId="0" borderId="71" xfId="31" applyFont="1" applyBorder="1" applyAlignment="1">
      <alignment horizontal="center" vertical="center"/>
    </xf>
    <xf numFmtId="164" fontId="8" fillId="0" borderId="0" xfId="1" applyFont="1" applyFill="1" applyBorder="1"/>
    <xf numFmtId="2" fontId="8" fillId="0" borderId="10" xfId="17" applyNumberFormat="1" applyFont="1" applyBorder="1" applyAlignment="1">
      <alignment horizontal="center" wrapText="1"/>
    </xf>
    <xf numFmtId="2" fontId="8" fillId="2" borderId="10" xfId="17" applyNumberFormat="1" applyFont="1" applyFill="1" applyBorder="1" applyAlignment="1">
      <alignment horizontal="center" wrapText="1"/>
    </xf>
    <xf numFmtId="172" fontId="8" fillId="0" borderId="10" xfId="30" applyNumberFormat="1" applyFont="1" applyBorder="1" applyAlignment="1">
      <alignment horizontal="center"/>
    </xf>
    <xf numFmtId="2" fontId="8" fillId="0" borderId="66" xfId="17" applyNumberFormat="1" applyFont="1" applyBorder="1" applyAlignment="1">
      <alignment horizontal="center" wrapText="1"/>
    </xf>
    <xf numFmtId="2" fontId="8" fillId="2" borderId="66" xfId="17" applyNumberFormat="1" applyFont="1" applyFill="1" applyBorder="1" applyAlignment="1">
      <alignment horizontal="center" wrapText="1"/>
    </xf>
    <xf numFmtId="172" fontId="8" fillId="0" borderId="66" xfId="30" applyNumberFormat="1" applyFont="1" applyBorder="1" applyAlignment="1">
      <alignment horizontal="center"/>
    </xf>
    <xf numFmtId="4" fontId="8" fillId="0" borderId="66" xfId="31" applyNumberFormat="1" applyFont="1" applyBorder="1" applyAlignment="1">
      <alignment horizontal="center" vertical="center"/>
    </xf>
    <xf numFmtId="4" fontId="8" fillId="0" borderId="12" xfId="31" applyNumberFormat="1" applyFont="1" applyBorder="1" applyAlignment="1">
      <alignment horizontal="center" vertical="center"/>
    </xf>
    <xf numFmtId="2" fontId="8" fillId="0" borderId="12" xfId="17" applyNumberFormat="1" applyFont="1" applyBorder="1" applyAlignment="1">
      <alignment horizontal="center" wrapText="1"/>
    </xf>
    <xf numFmtId="0" fontId="8" fillId="0" borderId="6" xfId="31" applyFont="1" applyBorder="1" applyAlignment="1">
      <alignment horizontal="center"/>
    </xf>
    <xf numFmtId="43" fontId="8" fillId="0" borderId="6" xfId="31" applyNumberFormat="1" applyFont="1" applyBorder="1"/>
    <xf numFmtId="173" fontId="8" fillId="0" borderId="6" xfId="31" applyNumberFormat="1" applyFont="1" applyBorder="1"/>
    <xf numFmtId="172" fontId="11" fillId="0" borderId="72" xfId="31" applyNumberFormat="1" applyFont="1" applyBorder="1" applyAlignment="1">
      <alignment horizontal="center" vertical="center"/>
    </xf>
    <xf numFmtId="164" fontId="8" fillId="3" borderId="0" xfId="1" applyFont="1" applyFill="1" applyBorder="1" applyAlignment="1">
      <alignment vertical="center"/>
    </xf>
    <xf numFmtId="0" fontId="35" fillId="0" borderId="0" xfId="31" applyFont="1" applyAlignment="1">
      <alignment horizontal="left" vertical="center"/>
    </xf>
    <xf numFmtId="4" fontId="13" fillId="0" borderId="51" xfId="31" applyNumberFormat="1" applyFont="1" applyBorder="1"/>
    <xf numFmtId="164" fontId="8" fillId="0" borderId="0" xfId="1" applyFont="1" applyAlignment="1">
      <alignment vertical="top" wrapText="1"/>
    </xf>
    <xf numFmtId="0" fontId="8" fillId="0" borderId="0" xfId="8" applyFont="1">
      <alignment vertical="top" wrapText="1"/>
    </xf>
    <xf numFmtId="4" fontId="13" fillId="0" borderId="15" xfId="31" applyNumberFormat="1" applyFont="1" applyBorder="1"/>
    <xf numFmtId="164" fontId="13" fillId="0" borderId="0" xfId="1" applyFont="1" applyFill="1"/>
    <xf numFmtId="4" fontId="13" fillId="0" borderId="0" xfId="31" applyNumberFormat="1" applyFont="1" applyAlignment="1">
      <alignment horizontal="right"/>
    </xf>
    <xf numFmtId="0" fontId="8" fillId="0" borderId="51" xfId="31" applyFont="1" applyBorder="1" applyAlignment="1">
      <alignment horizontal="left"/>
    </xf>
    <xf numFmtId="4" fontId="13" fillId="0" borderId="64" xfId="31" applyNumberFormat="1" applyFont="1" applyBorder="1" applyAlignment="1">
      <alignment horizontal="right"/>
    </xf>
    <xf numFmtId="164" fontId="13" fillId="0" borderId="64" xfId="1" applyFont="1" applyFill="1" applyBorder="1"/>
    <xf numFmtId="4" fontId="13" fillId="0" borderId="64" xfId="31" applyNumberFormat="1" applyFont="1" applyBorder="1"/>
    <xf numFmtId="174" fontId="13" fillId="0" borderId="64" xfId="31" applyNumberFormat="1" applyFont="1" applyBorder="1" applyAlignment="1">
      <alignment horizontal="center"/>
    </xf>
    <xf numFmtId="3" fontId="13" fillId="0" borderId="0" xfId="31" applyNumberFormat="1" applyFont="1" applyAlignment="1">
      <alignment horizontal="center"/>
    </xf>
    <xf numFmtId="164" fontId="14" fillId="0" borderId="74" xfId="1" applyFont="1" applyFill="1" applyBorder="1"/>
    <xf numFmtId="4" fontId="13" fillId="0" borderId="0" xfId="31" applyNumberFormat="1" applyFont="1" applyAlignment="1">
      <alignment horizontal="center"/>
    </xf>
    <xf numFmtId="4" fontId="13" fillId="0" borderId="15" xfId="31" applyNumberFormat="1" applyFont="1" applyBorder="1" applyAlignment="1">
      <alignment horizontal="center" vertical="center"/>
    </xf>
    <xf numFmtId="4" fontId="13" fillId="0" borderId="15" xfId="31" applyNumberFormat="1" applyFont="1" applyBorder="1" applyAlignment="1">
      <alignment horizontal="center" vertical="center" wrapText="1"/>
    </xf>
    <xf numFmtId="43" fontId="13" fillId="0" borderId="6" xfId="18" applyFont="1" applyFill="1" applyBorder="1" applyAlignment="1">
      <alignment horizontal="center" vertical="center" wrapText="1"/>
    </xf>
    <xf numFmtId="37" fontId="13" fillId="0" borderId="10" xfId="18" quotePrefix="1" applyNumberFormat="1" applyFont="1" applyFill="1" applyBorder="1" applyAlignment="1">
      <alignment horizontal="right" vertical="center" wrapText="1"/>
    </xf>
    <xf numFmtId="43" fontId="13" fillId="0" borderId="10" xfId="18" applyFont="1" applyFill="1" applyBorder="1" applyAlignment="1">
      <alignment horizontal="right" vertical="center" wrapText="1"/>
    </xf>
    <xf numFmtId="175" fontId="13" fillId="0" borderId="10" xfId="18" applyNumberFormat="1" applyFont="1" applyFill="1" applyBorder="1" applyAlignment="1">
      <alignment horizontal="right" vertical="center" wrapText="1"/>
    </xf>
    <xf numFmtId="164" fontId="13" fillId="2" borderId="66" xfId="1" applyFont="1" applyFill="1" applyBorder="1" applyAlignment="1">
      <alignment vertical="center"/>
    </xf>
    <xf numFmtId="170" fontId="13" fillId="0" borderId="66" xfId="18" applyNumberFormat="1" applyFont="1" applyFill="1" applyBorder="1" applyAlignment="1">
      <alignment horizontal="right" vertical="center" wrapText="1"/>
    </xf>
    <xf numFmtId="43" fontId="13" fillId="0" borderId="66" xfId="18" applyFont="1" applyFill="1" applyBorder="1" applyAlignment="1">
      <alignment horizontal="right" vertical="center" wrapText="1"/>
    </xf>
    <xf numFmtId="175" fontId="13" fillId="0" borderId="66" xfId="18" applyNumberFormat="1" applyFont="1" applyFill="1" applyBorder="1" applyAlignment="1">
      <alignment horizontal="right" vertical="center" wrapText="1"/>
    </xf>
    <xf numFmtId="43" fontId="36" fillId="0" borderId="66" xfId="18" applyFont="1" applyFill="1" applyBorder="1" applyAlignment="1">
      <alignment horizontal="right" vertical="center" wrapText="1"/>
    </xf>
    <xf numFmtId="4" fontId="13" fillId="0" borderId="0" xfId="31" applyNumberFormat="1" applyFont="1" applyAlignment="1">
      <alignment horizontal="center" vertical="center"/>
    </xf>
    <xf numFmtId="4" fontId="13" fillId="0" borderId="0" xfId="31" applyNumberFormat="1" applyFont="1" applyAlignment="1">
      <alignment horizontal="center" vertical="center" wrapText="1"/>
    </xf>
    <xf numFmtId="167" fontId="8" fillId="0" borderId="15" xfId="8" applyNumberFormat="1" applyFont="1" applyBorder="1" applyAlignment="1">
      <alignment horizontal="left" vertical="center"/>
    </xf>
    <xf numFmtId="43" fontId="14" fillId="0" borderId="6" xfId="18" applyFont="1" applyFill="1" applyBorder="1" applyAlignment="1">
      <alignment horizontal="right" vertical="center"/>
    </xf>
    <xf numFmtId="43" fontId="37" fillId="0" borderId="0" xfId="17" applyFont="1">
      <alignment wrapText="1"/>
    </xf>
    <xf numFmtId="0" fontId="38" fillId="0" borderId="0" xfId="31" applyFont="1" applyAlignment="1">
      <alignment horizontal="left" vertical="center" wrapText="1"/>
    </xf>
    <xf numFmtId="0" fontId="38" fillId="0" borderId="51" xfId="31" applyFont="1" applyBorder="1" applyAlignment="1">
      <alignment horizontal="left" vertical="center" wrapText="1"/>
    </xf>
    <xf numFmtId="0" fontId="11" fillId="0" borderId="15" xfId="13" applyFont="1" applyBorder="1"/>
    <xf numFmtId="167" fontId="8" fillId="0" borderId="51" xfId="8" applyNumberFormat="1" applyFont="1" applyBorder="1" applyAlignment="1">
      <alignment horizontal="right" vertical="top"/>
    </xf>
    <xf numFmtId="167" fontId="8" fillId="0" borderId="0" xfId="8" applyNumberFormat="1" applyFont="1" applyAlignment="1">
      <alignment horizontal="left" vertical="top"/>
    </xf>
    <xf numFmtId="0" fontId="17" fillId="0" borderId="0" xfId="15" applyFont="1" applyAlignment="1">
      <alignment horizontal="left" vertical="top"/>
    </xf>
    <xf numFmtId="0" fontId="17" fillId="0" borderId="0" xfId="15" applyFont="1" applyAlignment="1">
      <alignment horizontal="left" wrapText="1"/>
    </xf>
    <xf numFmtId="167" fontId="8" fillId="0" borderId="0" xfId="8" applyNumberFormat="1" applyFont="1" applyAlignment="1">
      <alignment horizontal="left" vertical="center"/>
    </xf>
    <xf numFmtId="0" fontId="8" fillId="3" borderId="0" xfId="0" applyFont="1" applyFill="1" applyAlignment="1">
      <alignment vertical="center" wrapText="1"/>
    </xf>
    <xf numFmtId="0" fontId="8" fillId="4" borderId="0" xfId="0" applyFont="1" applyFill="1" applyAlignment="1">
      <alignment vertical="center" wrapText="1"/>
    </xf>
    <xf numFmtId="164" fontId="8" fillId="4" borderId="0" xfId="1" applyFont="1" applyFill="1" applyAlignment="1">
      <alignment vertical="center" wrapText="1"/>
    </xf>
    <xf numFmtId="0" fontId="8" fillId="2" borderId="6" xfId="0" applyFont="1" applyFill="1" applyBorder="1" applyAlignment="1">
      <alignment horizontal="center" vertical="center" wrapText="1"/>
    </xf>
    <xf numFmtId="0" fontId="8" fillId="2" borderId="6" xfId="3" applyFont="1" applyFill="1" applyBorder="1" applyAlignment="1">
      <alignment horizontal="center" vertical="center" wrapText="1"/>
    </xf>
    <xf numFmtId="0" fontId="8" fillId="2" borderId="7" xfId="3" applyFont="1" applyFill="1" applyBorder="1" applyAlignment="1">
      <alignment horizontal="left" vertical="center" wrapText="1"/>
    </xf>
    <xf numFmtId="0" fontId="8" fillId="2" borderId="8" xfId="3" applyFont="1" applyFill="1" applyBorder="1" applyAlignment="1">
      <alignment horizontal="center" vertical="center" wrapText="1" shrinkToFit="1"/>
    </xf>
    <xf numFmtId="164" fontId="8" fillId="2" borderId="8" xfId="1" applyFont="1" applyFill="1" applyBorder="1" applyAlignment="1">
      <alignment horizontal="center" vertical="center" wrapText="1"/>
    </xf>
    <xf numFmtId="0" fontId="11" fillId="2" borderId="2" xfId="2" applyFont="1" applyFill="1" applyBorder="1" applyAlignment="1">
      <alignment vertical="center" wrapText="1"/>
    </xf>
    <xf numFmtId="0" fontId="11" fillId="2" borderId="6" xfId="2" applyFont="1" applyFill="1" applyBorder="1" applyAlignment="1">
      <alignment vertical="center" wrapText="1"/>
    </xf>
    <xf numFmtId="164" fontId="11" fillId="2" borderId="6" xfId="1" applyFont="1" applyFill="1" applyBorder="1" applyAlignment="1">
      <alignment vertical="center" wrapText="1"/>
    </xf>
    <xf numFmtId="164" fontId="8" fillId="2" borderId="6" xfId="1"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10" xfId="3" applyFont="1" applyFill="1" applyBorder="1" applyAlignment="1">
      <alignment horizontal="center" vertical="center" wrapText="1"/>
    </xf>
    <xf numFmtId="0" fontId="8" fillId="2" borderId="17" xfId="3" applyFont="1" applyFill="1" applyBorder="1" applyAlignment="1">
      <alignment horizontal="left" vertical="center" wrapText="1"/>
    </xf>
    <xf numFmtId="0" fontId="8" fillId="2" borderId="18" xfId="3" applyFont="1" applyFill="1" applyBorder="1" applyAlignment="1">
      <alignment horizontal="center" vertical="center" wrapText="1" shrinkToFit="1"/>
    </xf>
    <xf numFmtId="164" fontId="8" fillId="2" borderId="18" xfId="1"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2" borderId="12" xfId="3" applyFont="1" applyFill="1" applyBorder="1" applyAlignment="1">
      <alignment horizontal="center" vertical="center" wrapText="1"/>
    </xf>
    <xf numFmtId="0" fontId="8" fillId="2" borderId="14" xfId="3" applyFont="1" applyFill="1" applyBorder="1" applyAlignment="1">
      <alignment horizontal="left" vertical="center" wrapText="1"/>
    </xf>
    <xf numFmtId="0" fontId="8" fillId="2" borderId="13" xfId="3" applyFont="1" applyFill="1" applyBorder="1" applyAlignment="1">
      <alignment horizontal="center" vertical="center" wrapText="1" shrinkToFit="1"/>
    </xf>
    <xf numFmtId="164" fontId="8" fillId="2" borderId="13" xfId="1" applyFont="1" applyFill="1" applyBorder="1" applyAlignment="1">
      <alignment horizontal="center" vertical="center" wrapText="1"/>
    </xf>
    <xf numFmtId="0" fontId="8" fillId="2" borderId="34" xfId="3" applyFont="1" applyFill="1" applyBorder="1" applyAlignment="1">
      <alignment horizontal="left" vertical="center" wrapText="1"/>
    </xf>
    <xf numFmtId="0" fontId="8" fillId="2" borderId="10" xfId="3" applyFont="1" applyFill="1" applyBorder="1" applyAlignment="1">
      <alignment horizontal="center" vertical="center" wrapText="1" shrinkToFit="1"/>
    </xf>
    <xf numFmtId="164" fontId="8" fillId="2" borderId="10" xfId="1" applyFont="1" applyFill="1" applyBorder="1" applyAlignment="1">
      <alignment horizontal="center" vertical="center" wrapText="1"/>
    </xf>
    <xf numFmtId="0" fontId="8" fillId="2" borderId="14" xfId="0" applyFont="1" applyFill="1" applyBorder="1" applyAlignment="1">
      <alignment horizontal="center" vertical="center" wrapText="1"/>
    </xf>
    <xf numFmtId="0" fontId="8" fillId="2" borderId="11" xfId="3" applyFont="1" applyFill="1" applyBorder="1" applyAlignment="1">
      <alignment horizontal="center" vertical="center" wrapText="1"/>
    </xf>
    <xf numFmtId="164" fontId="8" fillId="2" borderId="16" xfId="1"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19" xfId="3" applyFont="1" applyFill="1" applyBorder="1" applyAlignment="1">
      <alignment horizontal="left" vertical="center" wrapText="1"/>
    </xf>
    <xf numFmtId="0" fontId="8" fillId="2" borderId="11" xfId="3" applyFont="1" applyFill="1" applyBorder="1" applyAlignment="1">
      <alignment horizontal="center" vertical="center" wrapText="1" shrinkToFit="1"/>
    </xf>
    <xf numFmtId="164" fontId="8" fillId="2" borderId="11" xfId="1" applyFont="1" applyFill="1" applyBorder="1" applyAlignment="1">
      <alignment horizontal="center" vertical="center" wrapText="1"/>
    </xf>
    <xf numFmtId="0" fontId="8" fillId="2" borderId="35" xfId="3" applyFont="1" applyFill="1" applyBorder="1" applyAlignment="1">
      <alignment horizontal="left" vertical="center" wrapText="1"/>
    </xf>
    <xf numFmtId="0" fontId="8" fillId="2" borderId="12" xfId="3" applyFont="1" applyFill="1" applyBorder="1" applyAlignment="1">
      <alignment horizontal="center" vertical="center" wrapText="1" shrinkToFit="1"/>
    </xf>
    <xf numFmtId="164" fontId="8" fillId="2" borderId="12" xfId="1" applyFont="1" applyFill="1" applyBorder="1" applyAlignment="1">
      <alignment horizontal="center" vertical="center" wrapText="1"/>
    </xf>
    <xf numFmtId="0" fontId="12" fillId="2" borderId="6" xfId="0" applyFont="1" applyFill="1" applyBorder="1" applyAlignment="1">
      <alignment horizontal="center" vertical="center" wrapText="1"/>
    </xf>
    <xf numFmtId="0" fontId="8" fillId="2" borderId="2" xfId="3" applyFont="1" applyFill="1" applyBorder="1" applyAlignment="1">
      <alignment horizontal="left" vertical="center" wrapText="1"/>
    </xf>
    <xf numFmtId="0" fontId="8" fillId="2" borderId="6" xfId="3" applyFont="1" applyFill="1" applyBorder="1" applyAlignment="1">
      <alignment horizontal="center" vertical="center" wrapText="1" shrinkToFit="1"/>
    </xf>
    <xf numFmtId="0" fontId="12" fillId="2" borderId="14" xfId="0" applyFont="1" applyFill="1" applyBorder="1" applyAlignment="1">
      <alignment horizontal="center" vertical="center" wrapText="1"/>
    </xf>
    <xf numFmtId="0" fontId="39" fillId="0" borderId="0" xfId="77" applyFont="1" applyAlignment="1">
      <alignment vertical="center"/>
    </xf>
    <xf numFmtId="164" fontId="39" fillId="0" borderId="0" xfId="1" applyFont="1" applyAlignment="1">
      <alignment vertical="center"/>
    </xf>
    <xf numFmtId="0" fontId="25" fillId="0" borderId="2" xfId="77" applyFont="1" applyBorder="1" applyAlignment="1">
      <alignment horizontal="center" vertical="center"/>
    </xf>
    <xf numFmtId="0" fontId="25" fillId="0" borderId="2" xfId="77" applyFont="1" applyBorder="1" applyAlignment="1">
      <alignment horizontal="center" vertical="center" wrapText="1"/>
    </xf>
    <xf numFmtId="0" fontId="40" fillId="0" borderId="0" xfId="77" applyFont="1" applyAlignment="1">
      <alignment horizontal="center" vertical="center"/>
    </xf>
    <xf numFmtId="164" fontId="40" fillId="0" borderId="0" xfId="1" applyFont="1" applyAlignment="1">
      <alignment horizontal="center" vertical="center"/>
    </xf>
    <xf numFmtId="0" fontId="24" fillId="0" borderId="17" xfId="79" applyFont="1" applyBorder="1" applyAlignment="1">
      <alignment horizontal="center" vertical="center"/>
    </xf>
    <xf numFmtId="164" fontId="24" fillId="0" borderId="34" xfId="80" applyFont="1" applyBorder="1" applyAlignment="1">
      <alignment horizontal="center" vertical="center"/>
    </xf>
    <xf numFmtId="0" fontId="24" fillId="0" borderId="69" xfId="79" applyFont="1" applyBorder="1" applyAlignment="1">
      <alignment horizontal="center" vertical="center"/>
    </xf>
    <xf numFmtId="164" fontId="24" fillId="0" borderId="69" xfId="80" applyFont="1" applyBorder="1" applyAlignment="1">
      <alignment horizontal="center" vertical="center"/>
    </xf>
    <xf numFmtId="0" fontId="7" fillId="0" borderId="69" xfId="77" applyFont="1" applyBorder="1" applyAlignment="1">
      <alignment horizontal="center" vertical="center"/>
    </xf>
    <xf numFmtId="0" fontId="7" fillId="0" borderId="67" xfId="77" applyFont="1" applyBorder="1" applyAlignment="1">
      <alignment horizontal="center" vertical="center"/>
    </xf>
    <xf numFmtId="0" fontId="7" fillId="0" borderId="68" xfId="77" applyFont="1" applyBorder="1" applyAlignment="1">
      <alignment horizontal="center" vertical="center"/>
    </xf>
    <xf numFmtId="164" fontId="31" fillId="0" borderId="69" xfId="80" applyFont="1" applyFill="1" applyBorder="1" applyAlignment="1">
      <alignment horizontal="center" vertical="center"/>
    </xf>
    <xf numFmtId="164" fontId="41" fillId="3" borderId="0" xfId="1" applyFont="1" applyFill="1" applyAlignment="1">
      <alignment vertical="center"/>
    </xf>
    <xf numFmtId="178" fontId="39" fillId="0" borderId="0" xfId="1" applyNumberFormat="1" applyFont="1" applyAlignment="1">
      <alignment vertical="center"/>
    </xf>
    <xf numFmtId="164" fontId="41" fillId="0" borderId="0" xfId="1" applyFont="1" applyAlignment="1">
      <alignment vertical="center"/>
    </xf>
    <xf numFmtId="2" fontId="42" fillId="0" borderId="0" xfId="81" applyNumberFormat="1" applyFont="1"/>
    <xf numFmtId="164" fontId="39" fillId="0" borderId="0" xfId="77" applyNumberFormat="1" applyFont="1" applyAlignment="1">
      <alignment vertical="center"/>
    </xf>
    <xf numFmtId="0" fontId="24" fillId="0" borderId="14" xfId="77" applyFont="1" applyBorder="1" applyAlignment="1">
      <alignment vertical="center"/>
    </xf>
    <xf numFmtId="164" fontId="24" fillId="0" borderId="2" xfId="80" applyFont="1" applyBorder="1" applyAlignment="1">
      <alignment horizontal="center" vertical="center"/>
    </xf>
    <xf numFmtId="164" fontId="23" fillId="0" borderId="80" xfId="80" applyFont="1" applyBorder="1" applyAlignment="1">
      <alignment horizontal="center" vertical="center"/>
    </xf>
    <xf numFmtId="0" fontId="40" fillId="0" borderId="0" xfId="77" applyFont="1" applyAlignment="1">
      <alignment vertical="center"/>
    </xf>
    <xf numFmtId="164" fontId="40" fillId="0" borderId="0" xfId="1" applyFont="1" applyAlignment="1">
      <alignment vertical="center"/>
    </xf>
    <xf numFmtId="0" fontId="39" fillId="0" borderId="43" xfId="77" applyFont="1" applyBorder="1" applyAlignment="1">
      <alignment vertical="top"/>
    </xf>
    <xf numFmtId="0" fontId="39" fillId="0" borderId="71" xfId="77" applyFont="1" applyBorder="1" applyAlignment="1">
      <alignment vertical="top"/>
    </xf>
    <xf numFmtId="0" fontId="39" fillId="0" borderId="0" xfId="77" applyFont="1" applyAlignment="1">
      <alignment horizontal="center" vertical="center"/>
    </xf>
    <xf numFmtId="0" fontId="39" fillId="0" borderId="51" xfId="77" applyFont="1" applyBorder="1" applyAlignment="1">
      <alignment vertical="center"/>
    </xf>
    <xf numFmtId="0" fontId="39" fillId="0" borderId="7" xfId="77" applyFont="1" applyBorder="1" applyAlignment="1">
      <alignment vertical="center"/>
    </xf>
    <xf numFmtId="0" fontId="39" fillId="0" borderId="64" xfId="77" applyFont="1" applyBorder="1" applyAlignment="1">
      <alignment vertical="center"/>
    </xf>
    <xf numFmtId="0" fontId="7" fillId="0" borderId="64" xfId="77" applyFont="1" applyBorder="1" applyAlignment="1">
      <alignment vertical="center"/>
    </xf>
    <xf numFmtId="0" fontId="7" fillId="0" borderId="0" xfId="77" applyFont="1" applyAlignment="1">
      <alignment vertical="center"/>
    </xf>
    <xf numFmtId="164" fontId="7" fillId="0" borderId="0" xfId="1" applyFont="1" applyAlignment="1">
      <alignment vertical="center"/>
    </xf>
    <xf numFmtId="0" fontId="25" fillId="0" borderId="0" xfId="14" applyFont="1" applyAlignment="1">
      <alignment horizontal="left" vertical="center"/>
    </xf>
    <xf numFmtId="0" fontId="26" fillId="0" borderId="0" xfId="15" applyFont="1" applyAlignment="1">
      <alignment vertical="center"/>
    </xf>
    <xf numFmtId="0" fontId="25" fillId="0" borderId="0" xfId="14" applyFont="1" applyAlignment="1">
      <alignment vertical="center"/>
    </xf>
    <xf numFmtId="0" fontId="25" fillId="0" borderId="0" xfId="14" applyFont="1" applyAlignment="1">
      <alignment horizontal="right" vertical="center"/>
    </xf>
    <xf numFmtId="0" fontId="23" fillId="0" borderId="0" xfId="14" applyFont="1" applyAlignment="1">
      <alignment horizontal="left" vertical="center"/>
    </xf>
    <xf numFmtId="0" fontId="23" fillId="0" borderId="0" xfId="14" applyFont="1" applyAlignment="1">
      <alignment vertical="center"/>
    </xf>
    <xf numFmtId="0" fontId="23" fillId="0" borderId="0" xfId="14" applyFont="1" applyAlignment="1">
      <alignment horizontal="right" vertical="center"/>
    </xf>
    <xf numFmtId="0" fontId="25" fillId="3" borderId="0" xfId="16" applyFont="1" applyFill="1" applyAlignment="1">
      <alignment horizontal="left" vertical="center"/>
    </xf>
    <xf numFmtId="0" fontId="25" fillId="3" borderId="0" xfId="14" applyFont="1" applyFill="1" applyAlignment="1">
      <alignment horizontal="left" vertical="center"/>
    </xf>
    <xf numFmtId="0" fontId="25" fillId="0" borderId="0" xfId="14" applyFont="1" applyAlignment="1">
      <alignment vertical="center" wrapText="1"/>
    </xf>
    <xf numFmtId="0" fontId="23" fillId="0" borderId="81" xfId="14" applyFont="1" applyBorder="1"/>
    <xf numFmtId="0" fontId="24" fillId="0" borderId="64" xfId="14" applyFont="1" applyBorder="1" applyAlignment="1">
      <alignment horizontal="left"/>
    </xf>
    <xf numFmtId="0" fontId="24" fillId="0" borderId="64" xfId="14" applyFont="1" applyBorder="1"/>
    <xf numFmtId="0" fontId="24" fillId="0" borderId="82" xfId="14" applyFont="1" applyBorder="1"/>
    <xf numFmtId="0" fontId="24" fillId="0" borderId="0" xfId="14" applyFont="1"/>
    <xf numFmtId="0" fontId="24" fillId="0" borderId="0" xfId="14" applyFont="1" applyAlignment="1">
      <alignment vertical="center"/>
    </xf>
    <xf numFmtId="43" fontId="24" fillId="0" borderId="0" xfId="14" applyNumberFormat="1" applyFont="1" applyAlignment="1">
      <alignment vertical="center"/>
    </xf>
    <xf numFmtId="0" fontId="24" fillId="0" borderId="0" xfId="14" applyFont="1" applyAlignment="1">
      <alignment horizontal="left" vertical="center"/>
    </xf>
    <xf numFmtId="43" fontId="23" fillId="0" borderId="0" xfId="14" applyNumberFormat="1" applyFont="1" applyAlignment="1">
      <alignment vertical="center"/>
    </xf>
    <xf numFmtId="0" fontId="31" fillId="0" borderId="0" xfId="14" applyFont="1"/>
    <xf numFmtId="0" fontId="30" fillId="0" borderId="0" xfId="14" applyFont="1"/>
    <xf numFmtId="0" fontId="30" fillId="0" borderId="0" xfId="14" applyFont="1" applyAlignment="1">
      <alignment vertical="center"/>
    </xf>
    <xf numFmtId="0" fontId="30" fillId="0" borderId="0" xfId="14" applyFont="1" applyAlignment="1">
      <alignment horizontal="left" vertical="center"/>
    </xf>
    <xf numFmtId="0" fontId="11" fillId="0" borderId="56" xfId="0" applyFont="1" applyBorder="1" applyAlignment="1">
      <alignment horizontal="left" vertical="center"/>
    </xf>
    <xf numFmtId="0" fontId="11" fillId="0" borderId="57" xfId="0" applyFont="1" applyBorder="1" applyAlignment="1">
      <alignment horizontal="right" vertical="center"/>
    </xf>
    <xf numFmtId="0" fontId="8" fillId="0" borderId="56" xfId="9" applyFont="1" applyBorder="1" applyAlignment="1">
      <alignment vertical="center"/>
    </xf>
    <xf numFmtId="0" fontId="8" fillId="0" borderId="57" xfId="9" applyFont="1" applyBorder="1" applyAlignment="1">
      <alignment horizontal="right" vertical="center"/>
    </xf>
    <xf numFmtId="0" fontId="8" fillId="0" borderId="56" xfId="0" applyFont="1" applyBorder="1" applyAlignment="1">
      <alignment horizontal="left" vertical="center"/>
    </xf>
    <xf numFmtId="0" fontId="8" fillId="0" borderId="57" xfId="0" applyFont="1" applyBorder="1" applyAlignment="1">
      <alignment horizontal="right" vertical="center"/>
    </xf>
    <xf numFmtId="0" fontId="17" fillId="0" borderId="83" xfId="9" applyFont="1" applyBorder="1" applyAlignment="1">
      <alignment horizontal="left" vertical="top"/>
    </xf>
    <xf numFmtId="0" fontId="17" fillId="0" borderId="58" xfId="74" applyFont="1" applyBorder="1" applyAlignment="1">
      <alignment vertical="center"/>
    </xf>
    <xf numFmtId="0" fontId="17" fillId="0" borderId="58" xfId="9" applyFont="1" applyBorder="1" applyAlignment="1">
      <alignment vertical="center"/>
    </xf>
    <xf numFmtId="0" fontId="17" fillId="0" borderId="84" xfId="9" applyFont="1" applyBorder="1" applyAlignment="1">
      <alignment horizontal="right" vertical="center"/>
    </xf>
    <xf numFmtId="164" fontId="8" fillId="3" borderId="0" xfId="0" applyNumberFormat="1" applyFont="1" applyFill="1" applyAlignment="1">
      <alignment vertical="center" wrapText="1"/>
    </xf>
    <xf numFmtId="164" fontId="8" fillId="3" borderId="0" xfId="0" applyNumberFormat="1" applyFont="1" applyFill="1" applyAlignment="1">
      <alignment horizontal="right" vertical="center" wrapText="1"/>
    </xf>
    <xf numFmtId="164" fontId="8" fillId="0" borderId="0" xfId="0" applyNumberFormat="1" applyFont="1" applyAlignment="1">
      <alignment vertical="center" wrapText="1"/>
    </xf>
    <xf numFmtId="0" fontId="8" fillId="0" borderId="66" xfId="0" applyFont="1" applyBorder="1" applyAlignment="1">
      <alignment horizontal="center" vertical="center" wrapText="1"/>
    </xf>
    <xf numFmtId="0" fontId="8" fillId="0" borderId="66" xfId="0" applyFont="1" applyBorder="1" applyAlignment="1">
      <alignment horizontal="center" vertical="center"/>
    </xf>
    <xf numFmtId="0" fontId="8" fillId="0" borderId="66" xfId="0" applyFont="1" applyBorder="1" applyAlignment="1">
      <alignment vertical="center" wrapText="1"/>
    </xf>
    <xf numFmtId="164" fontId="8" fillId="0" borderId="66" xfId="1" applyFont="1" applyFill="1" applyBorder="1" applyAlignment="1">
      <alignment horizontal="center" vertical="center"/>
    </xf>
    <xf numFmtId="164" fontId="8" fillId="0" borderId="66" xfId="1" applyFont="1" applyFill="1" applyBorder="1" applyAlignment="1">
      <alignment horizontal="right" vertical="center"/>
    </xf>
    <xf numFmtId="164" fontId="11" fillId="0" borderId="0" xfId="1" applyFont="1" applyFill="1" applyBorder="1" applyAlignment="1">
      <alignment horizontal="right" vertical="center" shrinkToFit="1"/>
    </xf>
    <xf numFmtId="0" fontId="11" fillId="0" borderId="66" xfId="0" applyFont="1" applyBorder="1" applyAlignment="1">
      <alignment vertical="center" wrapText="1"/>
    </xf>
    <xf numFmtId="164" fontId="8" fillId="0" borderId="66" xfId="1" applyFont="1" applyFill="1" applyBorder="1" applyAlignment="1">
      <alignment horizontal="center" vertical="center" wrapText="1"/>
    </xf>
    <xf numFmtId="0" fontId="8" fillId="0" borderId="13" xfId="0" applyFont="1" applyBorder="1" applyAlignment="1">
      <alignment horizontal="center" vertical="center"/>
    </xf>
    <xf numFmtId="164" fontId="8" fillId="0" borderId="13" xfId="1" applyFont="1" applyFill="1" applyBorder="1" applyAlignment="1">
      <alignment horizontal="center" vertical="center"/>
    </xf>
    <xf numFmtId="10" fontId="47" fillId="0" borderId="45" xfId="11" applyNumberFormat="1" applyFont="1" applyFill="1" applyBorder="1" applyAlignment="1">
      <alignment horizontal="center" vertical="center"/>
    </xf>
    <xf numFmtId="43" fontId="48" fillId="0" borderId="45" xfId="4" applyNumberFormat="1" applyFont="1" applyFill="1" applyBorder="1" applyAlignment="1">
      <alignment horizontal="center" vertical="center" wrapText="1"/>
    </xf>
    <xf numFmtId="10" fontId="47" fillId="0" borderId="47" xfId="11" applyNumberFormat="1" applyFont="1" applyFill="1" applyBorder="1" applyAlignment="1">
      <alignment horizontal="center" vertical="center"/>
    </xf>
    <xf numFmtId="43" fontId="48" fillId="0" borderId="47" xfId="4" applyNumberFormat="1" applyFont="1" applyFill="1" applyBorder="1" applyAlignment="1">
      <alignment horizontal="center" vertical="center" wrapText="1"/>
    </xf>
    <xf numFmtId="10" fontId="47" fillId="0" borderId="49" xfId="11" applyNumberFormat="1" applyFont="1" applyFill="1" applyBorder="1" applyAlignment="1">
      <alignment horizontal="center" vertical="center"/>
    </xf>
    <xf numFmtId="43" fontId="48" fillId="0" borderId="49" xfId="4" applyNumberFormat="1" applyFont="1" applyFill="1" applyBorder="1" applyAlignment="1">
      <alignment horizontal="center" vertical="center" wrapText="1"/>
    </xf>
    <xf numFmtId="10" fontId="47" fillId="0" borderId="29" xfId="11" applyNumberFormat="1" applyFont="1" applyFill="1" applyBorder="1" applyAlignment="1">
      <alignment horizontal="center" vertical="center"/>
    </xf>
    <xf numFmtId="43" fontId="9" fillId="0" borderId="29" xfId="4" applyNumberFormat="1" applyFont="1" applyFill="1" applyBorder="1" applyAlignment="1">
      <alignment horizontal="center" vertical="center" wrapText="1"/>
    </xf>
    <xf numFmtId="10" fontId="50" fillId="0" borderId="28" xfId="11" applyNumberFormat="1" applyFont="1" applyFill="1" applyBorder="1" applyAlignment="1">
      <alignment horizontal="center" vertical="center"/>
    </xf>
    <xf numFmtId="0" fontId="50" fillId="0" borderId="28" xfId="6" applyFont="1" applyBorder="1" applyAlignment="1">
      <alignment horizontal="center" vertical="center" wrapText="1"/>
    </xf>
    <xf numFmtId="10" fontId="9" fillId="0" borderId="28" xfId="4" applyNumberFormat="1" applyFont="1" applyFill="1" applyBorder="1" applyAlignment="1">
      <alignment horizontal="center" vertical="center" wrapText="1"/>
    </xf>
    <xf numFmtId="10" fontId="47" fillId="0" borderId="28" xfId="11" applyNumberFormat="1" applyFont="1" applyFill="1" applyBorder="1" applyAlignment="1">
      <alignment horizontal="center" vertical="center"/>
    </xf>
    <xf numFmtId="43" fontId="48" fillId="0" borderId="29" xfId="4" applyNumberFormat="1" applyFont="1" applyFill="1" applyBorder="1" applyAlignment="1">
      <alignment horizontal="center" vertical="center" wrapText="1"/>
    </xf>
    <xf numFmtId="0" fontId="47" fillId="0" borderId="28" xfId="6" applyFont="1" applyBorder="1" applyAlignment="1">
      <alignment horizontal="center" vertical="center" wrapText="1"/>
    </xf>
    <xf numFmtId="10" fontId="9" fillId="0" borderId="26" xfId="4" applyNumberFormat="1" applyFont="1" applyFill="1" applyBorder="1" applyAlignment="1">
      <alignment horizontal="center" vertical="center" wrapText="1"/>
    </xf>
    <xf numFmtId="10" fontId="9" fillId="0" borderId="6" xfId="4" applyNumberFormat="1" applyFont="1" applyFill="1" applyBorder="1" applyAlignment="1">
      <alignment horizontal="center" vertical="center" wrapText="1"/>
    </xf>
    <xf numFmtId="43" fontId="8" fillId="0" borderId="0" xfId="6" applyNumberFormat="1" applyFont="1" applyAlignment="1">
      <alignment vertical="top" wrapText="1"/>
    </xf>
    <xf numFmtId="43" fontId="48" fillId="0" borderId="0" xfId="6" applyNumberFormat="1" applyFont="1" applyAlignment="1">
      <alignment vertical="top" wrapText="1"/>
    </xf>
    <xf numFmtId="0" fontId="48" fillId="0" borderId="0" xfId="6" applyFont="1" applyAlignment="1">
      <alignment vertical="top" wrapText="1"/>
    </xf>
    <xf numFmtId="164" fontId="48" fillId="0" borderId="0" xfId="1" applyFont="1" applyAlignment="1">
      <alignment vertical="top" wrapText="1"/>
    </xf>
    <xf numFmtId="43" fontId="9" fillId="0" borderId="0" xfId="6" applyNumberFormat="1" applyFont="1" applyAlignment="1">
      <alignment vertical="top" wrapText="1"/>
    </xf>
    <xf numFmtId="164" fontId="0" fillId="0" borderId="0" xfId="0" applyNumberFormat="1"/>
    <xf numFmtId="0" fontId="20" fillId="0" borderId="52" xfId="14" applyFont="1" applyBorder="1" applyAlignment="1">
      <alignment horizontal="center" vertical="center" wrapText="1"/>
    </xf>
    <xf numFmtId="0" fontId="22" fillId="0" borderId="53" xfId="15" applyFont="1" applyBorder="1" applyAlignment="1">
      <alignment horizontal="center" vertical="center" wrapText="1"/>
    </xf>
    <xf numFmtId="0" fontId="22" fillId="0" borderId="54" xfId="15" applyFont="1" applyBorder="1" applyAlignment="1">
      <alignment horizontal="center" vertical="center" wrapText="1"/>
    </xf>
    <xf numFmtId="0" fontId="23" fillId="0" borderId="4" xfId="14" applyFont="1" applyBorder="1" applyAlignment="1">
      <alignment horizontal="center" vertical="center"/>
    </xf>
    <xf numFmtId="0" fontId="23" fillId="0" borderId="1" xfId="14" applyFont="1" applyBorder="1" applyAlignment="1">
      <alignment horizontal="center" vertical="center"/>
    </xf>
    <xf numFmtId="0" fontId="23" fillId="0" borderId="55" xfId="14" applyFont="1" applyBorder="1" applyAlignment="1">
      <alignment horizontal="center" vertical="center"/>
    </xf>
    <xf numFmtId="0" fontId="24" fillId="0" borderId="56" xfId="14" applyFont="1" applyBorder="1" applyAlignment="1">
      <alignment horizontal="center"/>
    </xf>
    <xf numFmtId="0" fontId="24" fillId="0" borderId="0" xfId="14" applyFont="1" applyAlignment="1">
      <alignment horizontal="center"/>
    </xf>
    <xf numFmtId="0" fontId="24" fillId="0" borderId="57" xfId="14" applyFont="1" applyBorder="1" applyAlignment="1">
      <alignment horizontal="center"/>
    </xf>
    <xf numFmtId="0" fontId="23" fillId="0" borderId="0" xfId="14" applyFont="1" applyAlignment="1">
      <alignment horizontal="center"/>
    </xf>
    <xf numFmtId="0" fontId="23" fillId="0" borderId="57" xfId="14" applyFont="1" applyBorder="1" applyAlignment="1">
      <alignment horizontal="center"/>
    </xf>
    <xf numFmtId="0" fontId="29" fillId="0" borderId="56" xfId="14" applyFont="1" applyBorder="1" applyAlignment="1">
      <alignment horizontal="left" vertical="center" wrapText="1"/>
    </xf>
    <xf numFmtId="0" fontId="29" fillId="0" borderId="0" xfId="14" applyFont="1" applyAlignment="1">
      <alignment horizontal="left" vertical="center" wrapText="1"/>
    </xf>
    <xf numFmtId="0" fontId="46" fillId="0" borderId="19" xfId="0" applyFont="1" applyBorder="1" applyAlignment="1">
      <alignment horizontal="left" vertical="center" wrapText="1"/>
    </xf>
    <xf numFmtId="0" fontId="46" fillId="0" borderId="46" xfId="0" applyFont="1" applyBorder="1" applyAlignment="1">
      <alignment horizontal="left" vertical="center" wrapText="1"/>
    </xf>
    <xf numFmtId="0" fontId="11" fillId="0" borderId="0" xfId="6" applyFont="1" applyAlignment="1">
      <alignment horizontal="center" vertical="center"/>
    </xf>
    <xf numFmtId="0" fontId="14" fillId="0" borderId="28" xfId="6" applyFont="1" applyBorder="1" applyAlignment="1">
      <alignment horizontal="center"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46" fillId="0" borderId="34" xfId="0" applyFont="1" applyBorder="1" applyAlignment="1">
      <alignment horizontal="left" vertical="center" wrapText="1"/>
    </xf>
    <xf numFmtId="0" fontId="46" fillId="0" borderId="44" xfId="0" applyFont="1" applyBorder="1" applyAlignment="1">
      <alignment horizontal="left" vertical="center" wrapText="1"/>
    </xf>
    <xf numFmtId="0" fontId="46" fillId="0" borderId="40" xfId="0" applyFont="1" applyBorder="1" applyAlignment="1">
      <alignment horizontal="left" vertical="center" wrapText="1"/>
    </xf>
    <xf numFmtId="0" fontId="46" fillId="0" borderId="41" xfId="0" applyFont="1" applyBorder="1" applyAlignment="1">
      <alignment horizontal="left" vertical="center" wrapText="1"/>
    </xf>
    <xf numFmtId="0" fontId="46" fillId="0" borderId="42" xfId="0" applyFont="1" applyBorder="1" applyAlignment="1">
      <alignment horizontal="left" vertical="center" wrapText="1"/>
    </xf>
    <xf numFmtId="0" fontId="49" fillId="0" borderId="37" xfId="0" applyFont="1" applyBorder="1" applyAlignment="1">
      <alignment horizontal="left" vertical="center" wrapText="1"/>
    </xf>
    <xf numFmtId="0" fontId="49" fillId="0" borderId="39" xfId="0" applyFont="1" applyBorder="1" applyAlignment="1">
      <alignment horizontal="left" vertical="center" wrapText="1"/>
    </xf>
    <xf numFmtId="0" fontId="49" fillId="0" borderId="27" xfId="0" applyFont="1" applyBorder="1" applyAlignment="1">
      <alignment horizontal="left" vertical="center" wrapText="1"/>
    </xf>
    <xf numFmtId="167" fontId="47" fillId="0" borderId="28" xfId="6" applyNumberFormat="1" applyFont="1" applyBorder="1" applyAlignment="1">
      <alignment horizontal="left" vertical="center" wrapText="1"/>
    </xf>
    <xf numFmtId="0" fontId="46" fillId="0" borderId="35" xfId="0" applyFont="1" applyBorder="1" applyAlignment="1">
      <alignment horizontal="left" vertical="center" wrapText="1"/>
    </xf>
    <xf numFmtId="0" fontId="46" fillId="0" borderId="48" xfId="0" applyFont="1" applyBorder="1" applyAlignment="1">
      <alignment horizontal="left" vertical="center" wrapText="1"/>
    </xf>
    <xf numFmtId="0" fontId="49" fillId="0" borderId="38" xfId="0" applyFont="1" applyBorder="1" applyAlignment="1">
      <alignment horizontal="left" vertical="center" wrapText="1"/>
    </xf>
    <xf numFmtId="0" fontId="49" fillId="0" borderId="23" xfId="0" applyFont="1" applyBorder="1" applyAlignment="1">
      <alignment horizontal="left" vertical="center" wrapText="1"/>
    </xf>
    <xf numFmtId="0" fontId="49" fillId="0" borderId="24" xfId="0" applyFont="1" applyBorder="1" applyAlignment="1">
      <alignment horizontal="left" vertical="center" wrapText="1"/>
    </xf>
    <xf numFmtId="0" fontId="50" fillId="0" borderId="28" xfId="6" applyFont="1" applyBorder="1" applyAlignment="1">
      <alignment horizontal="left" vertical="center" wrapText="1"/>
    </xf>
    <xf numFmtId="0" fontId="46" fillId="0" borderId="37" xfId="0" applyFont="1" applyBorder="1" applyAlignment="1">
      <alignment horizontal="left" vertical="center" wrapText="1"/>
    </xf>
    <xf numFmtId="0" fontId="46" fillId="0" borderId="27" xfId="0" applyFont="1" applyBorder="1" applyAlignment="1">
      <alignment horizontal="left" vertical="center" wrapText="1"/>
    </xf>
    <xf numFmtId="4" fontId="43" fillId="5" borderId="61" xfId="76" applyNumberFormat="1" applyFont="1" applyFill="1" applyBorder="1" applyAlignment="1">
      <alignment horizontal="center" vertical="center" wrapText="1"/>
    </xf>
    <xf numFmtId="4" fontId="43" fillId="5" borderId="43" xfId="76" applyNumberFormat="1" applyFont="1" applyFill="1" applyBorder="1" applyAlignment="1">
      <alignment horizontal="center" vertical="center" wrapText="1"/>
    </xf>
    <xf numFmtId="4" fontId="43" fillId="5" borderId="71" xfId="76" applyNumberFormat="1" applyFont="1" applyFill="1" applyBorder="1" applyAlignment="1">
      <alignment horizontal="center" vertical="center" wrapText="1"/>
    </xf>
    <xf numFmtId="4" fontId="43" fillId="5" borderId="15" xfId="76" applyNumberFormat="1" applyFont="1" applyFill="1" applyBorder="1" applyAlignment="1">
      <alignment horizontal="center" vertical="center" wrapText="1"/>
    </xf>
    <xf numFmtId="4" fontId="43" fillId="5" borderId="0" xfId="76" applyNumberFormat="1" applyFont="1" applyFill="1" applyAlignment="1">
      <alignment horizontal="center" vertical="center" wrapText="1"/>
    </xf>
    <xf numFmtId="4" fontId="43" fillId="5" borderId="51" xfId="76" applyNumberFormat="1" applyFont="1" applyFill="1" applyBorder="1" applyAlignment="1">
      <alignment horizontal="center" vertical="center" wrapText="1"/>
    </xf>
    <xf numFmtId="4" fontId="43" fillId="5" borderId="7" xfId="76" applyNumberFormat="1" applyFont="1" applyFill="1" applyBorder="1" applyAlignment="1">
      <alignment horizontal="center" vertical="center"/>
    </xf>
    <xf numFmtId="4" fontId="43" fillId="5" borderId="64" xfId="76" applyNumberFormat="1" applyFont="1" applyFill="1" applyBorder="1" applyAlignment="1">
      <alignment horizontal="center" vertical="center"/>
    </xf>
    <xf numFmtId="4" fontId="43" fillId="5" borderId="64" xfId="76" applyNumberFormat="1" applyFont="1" applyFill="1" applyBorder="1" applyAlignment="1">
      <alignment horizontal="right" vertical="center"/>
    </xf>
    <xf numFmtId="4" fontId="43" fillId="5" borderId="64" xfId="76" applyNumberFormat="1" applyFont="1" applyFill="1" applyBorder="1" applyAlignment="1">
      <alignment horizontal="left" vertical="center"/>
    </xf>
    <xf numFmtId="4" fontId="43" fillId="5" borderId="36" xfId="76" applyNumberFormat="1" applyFont="1" applyFill="1" applyBorder="1" applyAlignment="1">
      <alignment horizontal="left" vertical="center"/>
    </xf>
    <xf numFmtId="0" fontId="43" fillId="6" borderId="61" xfId="78" applyFont="1" applyFill="1" applyBorder="1" applyAlignment="1">
      <alignment horizontal="right" vertical="center"/>
    </xf>
    <xf numFmtId="0" fontId="43" fillId="6" borderId="43" xfId="78" applyFont="1" applyFill="1" applyBorder="1" applyAlignment="1">
      <alignment horizontal="right" vertical="center"/>
    </xf>
    <xf numFmtId="0" fontId="43" fillId="6" borderId="43" xfId="78" applyFont="1" applyFill="1" applyBorder="1" applyAlignment="1">
      <alignment horizontal="left" vertical="center"/>
    </xf>
    <xf numFmtId="4" fontId="44" fillId="6" borderId="43" xfId="76" applyNumberFormat="1" applyFont="1" applyFill="1" applyBorder="1" applyAlignment="1">
      <alignment horizontal="right" vertical="center"/>
    </xf>
    <xf numFmtId="176" fontId="44" fillId="6" borderId="43" xfId="76" applyNumberFormat="1" applyFont="1" applyFill="1" applyBorder="1" applyAlignment="1">
      <alignment horizontal="left" vertical="center" wrapText="1"/>
    </xf>
    <xf numFmtId="176" fontId="44" fillId="6" borderId="71" xfId="76" applyNumberFormat="1" applyFont="1" applyFill="1" applyBorder="1" applyAlignment="1">
      <alignment horizontal="left" vertical="center" wrapText="1"/>
    </xf>
    <xf numFmtId="0" fontId="23" fillId="0" borderId="8" xfId="77" applyFont="1" applyBorder="1" applyAlignment="1">
      <alignment horizontal="center" vertical="center"/>
    </xf>
    <xf numFmtId="0" fontId="25" fillId="0" borderId="2" xfId="77" applyFont="1" applyBorder="1" applyAlignment="1">
      <alignment horizontal="center" vertical="center"/>
    </xf>
    <xf numFmtId="0" fontId="25" fillId="0" borderId="73" xfId="77" applyFont="1" applyBorder="1" applyAlignment="1">
      <alignment horizontal="center" vertical="center"/>
    </xf>
    <xf numFmtId="0" fontId="25" fillId="0" borderId="72" xfId="77" applyFont="1" applyBorder="1" applyAlignment="1">
      <alignment horizontal="center" vertical="center"/>
    </xf>
    <xf numFmtId="0" fontId="25" fillId="0" borderId="2" xfId="77" applyFont="1" applyBorder="1" applyAlignment="1">
      <alignment horizontal="center" vertical="center" wrapText="1"/>
    </xf>
    <xf numFmtId="0" fontId="25" fillId="0" borderId="73" xfId="77" applyFont="1" applyBorder="1" applyAlignment="1">
      <alignment horizontal="center" vertical="center" wrapText="1"/>
    </xf>
    <xf numFmtId="0" fontId="25" fillId="0" borderId="72" xfId="77" applyFont="1" applyBorder="1" applyAlignment="1">
      <alignment horizontal="center" vertical="center" wrapText="1"/>
    </xf>
    <xf numFmtId="0" fontId="43" fillId="6" borderId="15" xfId="78" applyFont="1" applyFill="1" applyBorder="1" applyAlignment="1">
      <alignment horizontal="right" vertical="center"/>
    </xf>
    <xf numFmtId="0" fontId="43" fillId="6" borderId="0" xfId="78" applyFont="1" applyFill="1" applyAlignment="1">
      <alignment horizontal="right" vertical="center"/>
    </xf>
    <xf numFmtId="0" fontId="43" fillId="6" borderId="0" xfId="78" applyFont="1" applyFill="1" applyAlignment="1">
      <alignment horizontal="left" vertical="center"/>
    </xf>
    <xf numFmtId="4" fontId="44" fillId="6" borderId="0" xfId="76" applyNumberFormat="1" applyFont="1" applyFill="1" applyAlignment="1">
      <alignment horizontal="right" vertical="center" wrapText="1"/>
    </xf>
    <xf numFmtId="176" fontId="45" fillId="6" borderId="0" xfId="76" applyNumberFormat="1" applyFont="1" applyFill="1" applyAlignment="1">
      <alignment horizontal="left" vertical="center" wrapText="1"/>
    </xf>
    <xf numFmtId="176" fontId="45" fillId="6" borderId="51" xfId="76" applyNumberFormat="1" applyFont="1" applyFill="1" applyBorder="1" applyAlignment="1">
      <alignment horizontal="left" vertical="center" wrapText="1"/>
    </xf>
    <xf numFmtId="0" fontId="43" fillId="6" borderId="7" xfId="78" applyFont="1" applyFill="1" applyBorder="1" applyAlignment="1">
      <alignment horizontal="right" vertical="center"/>
    </xf>
    <xf numFmtId="0" fontId="43" fillId="6" borderId="64" xfId="78" applyFont="1" applyFill="1" applyBorder="1" applyAlignment="1">
      <alignment horizontal="right" vertical="center"/>
    </xf>
    <xf numFmtId="0" fontId="43" fillId="6" borderId="64" xfId="78" applyFont="1" applyFill="1" applyBorder="1" applyAlignment="1">
      <alignment horizontal="left" vertical="center"/>
    </xf>
    <xf numFmtId="4" fontId="44" fillId="6" borderId="64" xfId="76" applyNumberFormat="1" applyFont="1" applyFill="1" applyBorder="1" applyAlignment="1">
      <alignment horizontal="right" vertical="center"/>
    </xf>
    <xf numFmtId="177" fontId="44" fillId="6" borderId="64" xfId="76" applyNumberFormat="1" applyFont="1" applyFill="1" applyBorder="1" applyAlignment="1">
      <alignment horizontal="left" vertical="center"/>
    </xf>
    <xf numFmtId="177" fontId="44" fillId="6" borderId="36" xfId="76" applyNumberFormat="1" applyFont="1" applyFill="1" applyBorder="1" applyAlignment="1">
      <alignment horizontal="left" vertical="center"/>
    </xf>
    <xf numFmtId="0" fontId="24" fillId="0" borderId="34" xfId="22" applyNumberFormat="1" applyFont="1" applyFill="1" applyBorder="1" applyAlignment="1">
      <alignment horizontal="left" vertical="center"/>
    </xf>
    <xf numFmtId="0" fontId="24" fillId="0" borderId="65" xfId="22" applyNumberFormat="1" applyFont="1" applyFill="1" applyBorder="1" applyAlignment="1">
      <alignment horizontal="left" vertical="center"/>
    </xf>
    <xf numFmtId="0" fontId="24" fillId="0" borderId="79" xfId="22" applyNumberFormat="1" applyFont="1" applyFill="1" applyBorder="1" applyAlignment="1">
      <alignment horizontal="left" vertical="center"/>
    </xf>
    <xf numFmtId="0" fontId="24" fillId="0" borderId="34" xfId="77" applyFont="1" applyBorder="1" applyAlignment="1">
      <alignment horizontal="center" vertical="center"/>
    </xf>
    <xf numFmtId="0" fontId="24" fillId="0" borderId="79" xfId="77" applyFont="1" applyBorder="1" applyAlignment="1">
      <alignment horizontal="center" vertical="center"/>
    </xf>
    <xf numFmtId="164" fontId="24" fillId="0" borderId="34" xfId="80" applyFont="1" applyFill="1" applyBorder="1" applyAlignment="1">
      <alignment horizontal="center" vertical="center"/>
    </xf>
    <xf numFmtId="164" fontId="24" fillId="0" borderId="65" xfId="80" applyFont="1" applyFill="1" applyBorder="1" applyAlignment="1">
      <alignment horizontal="center" vertical="center"/>
    </xf>
    <xf numFmtId="164" fontId="24" fillId="0" borderId="79" xfId="80" applyFont="1" applyFill="1" applyBorder="1" applyAlignment="1">
      <alignment horizontal="center" vertical="center"/>
    </xf>
    <xf numFmtId="164" fontId="24" fillId="0" borderId="34" xfId="80" applyFont="1" applyBorder="1" applyAlignment="1">
      <alignment horizontal="center" vertical="center"/>
    </xf>
    <xf numFmtId="164" fontId="24" fillId="0" borderId="65" xfId="80" applyFont="1" applyBorder="1" applyAlignment="1">
      <alignment horizontal="center" vertical="center"/>
    </xf>
    <xf numFmtId="164" fontId="24" fillId="0" borderId="79" xfId="80" applyFont="1" applyBorder="1" applyAlignment="1">
      <alignment horizontal="center" vertical="center"/>
    </xf>
    <xf numFmtId="0" fontId="7" fillId="0" borderId="34" xfId="77" applyFont="1" applyBorder="1" applyAlignment="1">
      <alignment horizontal="center" vertical="center"/>
    </xf>
    <xf numFmtId="0" fontId="7" fillId="0" borderId="65" xfId="77" applyFont="1" applyBorder="1" applyAlignment="1">
      <alignment horizontal="center" vertical="center"/>
    </xf>
    <xf numFmtId="0" fontId="7" fillId="0" borderId="79" xfId="77" applyFont="1" applyBorder="1" applyAlignment="1">
      <alignment horizontal="center" vertical="center"/>
    </xf>
    <xf numFmtId="0" fontId="24" fillId="0" borderId="69" xfId="22" applyNumberFormat="1" applyFont="1" applyFill="1" applyBorder="1" applyAlignment="1">
      <alignment horizontal="center" vertical="center"/>
    </xf>
    <xf numFmtId="0" fontId="24" fillId="0" borderId="67" xfId="22" applyNumberFormat="1" applyFont="1" applyFill="1" applyBorder="1" applyAlignment="1">
      <alignment horizontal="center" vertical="center"/>
    </xf>
    <xf numFmtId="0" fontId="24" fillId="0" borderId="68" xfId="22" applyNumberFormat="1" applyFont="1" applyFill="1" applyBorder="1" applyAlignment="1">
      <alignment horizontal="center" vertical="center"/>
    </xf>
    <xf numFmtId="0" fontId="24" fillId="0" borderId="69" xfId="77" applyFont="1" applyBorder="1" applyAlignment="1">
      <alignment horizontal="center" vertical="center"/>
    </xf>
    <xf numFmtId="0" fontId="24" fillId="0" borderId="68" xfId="77" applyFont="1" applyBorder="1" applyAlignment="1">
      <alignment horizontal="center" vertical="center"/>
    </xf>
    <xf numFmtId="164" fontId="24" fillId="0" borderId="69" xfId="80" applyFont="1" applyBorder="1" applyAlignment="1">
      <alignment horizontal="center" vertical="center"/>
    </xf>
    <xf numFmtId="164" fontId="24" fillId="0" borderId="67" xfId="80" applyFont="1" applyBorder="1" applyAlignment="1">
      <alignment horizontal="center" vertical="center"/>
    </xf>
    <xf numFmtId="164" fontId="24" fillId="0" borderId="68" xfId="80" applyFont="1" applyBorder="1" applyAlignment="1">
      <alignment horizontal="center" vertical="center"/>
    </xf>
    <xf numFmtId="0" fontId="7" fillId="0" borderId="69" xfId="77" applyFont="1" applyBorder="1" applyAlignment="1">
      <alignment horizontal="center" vertical="center"/>
    </xf>
    <xf numFmtId="0" fontId="7" fillId="0" borderId="67" xfId="77" applyFont="1" applyBorder="1" applyAlignment="1">
      <alignment horizontal="center" vertical="center"/>
    </xf>
    <xf numFmtId="0" fontId="7" fillId="0" borderId="68" xfId="77" applyFont="1" applyBorder="1" applyAlignment="1">
      <alignment horizontal="center" vertical="center"/>
    </xf>
    <xf numFmtId="0" fontId="24" fillId="0" borderId="69" xfId="22" applyNumberFormat="1" applyFont="1" applyFill="1" applyBorder="1" applyAlignment="1">
      <alignment horizontal="left" vertical="center"/>
    </xf>
    <xf numFmtId="0" fontId="24" fillId="0" borderId="67" xfId="22" applyNumberFormat="1" applyFont="1" applyFill="1" applyBorder="1" applyAlignment="1">
      <alignment horizontal="left" vertical="center"/>
    </xf>
    <xf numFmtId="0" fontId="24" fillId="0" borderId="68" xfId="22" applyNumberFormat="1" applyFont="1" applyFill="1" applyBorder="1" applyAlignment="1">
      <alignment horizontal="left" vertical="center"/>
    </xf>
    <xf numFmtId="164" fontId="24" fillId="0" borderId="69" xfId="80" applyFont="1" applyFill="1" applyBorder="1" applyAlignment="1">
      <alignment horizontal="center" vertical="center"/>
    </xf>
    <xf numFmtId="164" fontId="24" fillId="0" borderId="67" xfId="80" applyFont="1" applyFill="1" applyBorder="1" applyAlignment="1">
      <alignment horizontal="center" vertical="center"/>
    </xf>
    <xf numFmtId="164" fontId="24" fillId="0" borderId="68" xfId="80" applyFont="1" applyFill="1" applyBorder="1" applyAlignment="1">
      <alignment horizontal="center" vertical="center"/>
    </xf>
    <xf numFmtId="0" fontId="24" fillId="0" borderId="69" xfId="22" applyNumberFormat="1" applyFont="1" applyFill="1" applyBorder="1" applyAlignment="1">
      <alignment horizontal="left" vertical="center" indent="1"/>
    </xf>
    <xf numFmtId="0" fontId="24" fillId="0" borderId="67" xfId="22" applyNumberFormat="1" applyFont="1" applyFill="1" applyBorder="1" applyAlignment="1">
      <alignment horizontal="left" vertical="center" indent="1"/>
    </xf>
    <xf numFmtId="0" fontId="24" fillId="0" borderId="68" xfId="22" applyNumberFormat="1" applyFont="1" applyFill="1" applyBorder="1" applyAlignment="1">
      <alignment horizontal="left" vertical="center" indent="1"/>
    </xf>
    <xf numFmtId="164" fontId="31" fillId="0" borderId="69" xfId="80" applyFont="1" applyFill="1" applyBorder="1" applyAlignment="1">
      <alignment horizontal="center" vertical="center"/>
    </xf>
    <xf numFmtId="164" fontId="31" fillId="0" borderId="67" xfId="80" applyFont="1" applyFill="1" applyBorder="1" applyAlignment="1">
      <alignment horizontal="center" vertical="center"/>
    </xf>
    <xf numFmtId="164" fontId="31" fillId="0" borderId="68" xfId="80" applyFont="1" applyFill="1" applyBorder="1" applyAlignment="1">
      <alignment horizontal="center" vertical="center"/>
    </xf>
    <xf numFmtId="178" fontId="31" fillId="0" borderId="69" xfId="80" applyNumberFormat="1" applyFont="1" applyFill="1" applyBorder="1" applyAlignment="1">
      <alignment horizontal="center" vertical="center"/>
    </xf>
    <xf numFmtId="178" fontId="31" fillId="0" borderId="67" xfId="80" applyNumberFormat="1" applyFont="1" applyFill="1" applyBorder="1" applyAlignment="1">
      <alignment horizontal="center" vertical="center"/>
    </xf>
    <xf numFmtId="178" fontId="31" fillId="0" borderId="68" xfId="80" applyNumberFormat="1" applyFont="1" applyFill="1" applyBorder="1" applyAlignment="1">
      <alignment horizontal="center" vertical="center"/>
    </xf>
    <xf numFmtId="178" fontId="24" fillId="0" borderId="69" xfId="80" applyNumberFormat="1" applyFont="1" applyFill="1" applyBorder="1" applyAlignment="1">
      <alignment horizontal="center" vertical="center"/>
    </xf>
    <xf numFmtId="178" fontId="24" fillId="0" borderId="67" xfId="80" applyNumberFormat="1" applyFont="1" applyFill="1" applyBorder="1" applyAlignment="1">
      <alignment horizontal="center" vertical="center"/>
    </xf>
    <xf numFmtId="178" fontId="24" fillId="0" borderId="68" xfId="80" applyNumberFormat="1" applyFont="1" applyFill="1" applyBorder="1" applyAlignment="1">
      <alignment horizontal="center" vertical="center"/>
    </xf>
    <xf numFmtId="0" fontId="23" fillId="0" borderId="2" xfId="77" applyFont="1" applyBorder="1" applyAlignment="1">
      <alignment horizontal="center" vertical="center"/>
    </xf>
    <xf numFmtId="0" fontId="23" fillId="0" borderId="73" xfId="77" applyFont="1" applyBorder="1" applyAlignment="1">
      <alignment horizontal="center" vertical="center"/>
    </xf>
    <xf numFmtId="0" fontId="23" fillId="0" borderId="72" xfId="77" applyFont="1" applyBorder="1" applyAlignment="1">
      <alignment horizontal="center" vertical="center"/>
    </xf>
    <xf numFmtId="0" fontId="7" fillId="0" borderId="2" xfId="77" applyFont="1" applyBorder="1" applyAlignment="1">
      <alignment horizontal="center" vertical="center"/>
    </xf>
    <xf numFmtId="0" fontId="7" fillId="0" borderId="73" xfId="77" applyFont="1" applyBorder="1" applyAlignment="1">
      <alignment horizontal="center" vertical="center"/>
    </xf>
    <xf numFmtId="0" fontId="7" fillId="0" borderId="72" xfId="77" applyFont="1" applyBorder="1" applyAlignment="1">
      <alignment horizontal="center" vertical="center"/>
    </xf>
    <xf numFmtId="0" fontId="39" fillId="0" borderId="15" xfId="77" applyFont="1" applyBorder="1" applyAlignment="1">
      <alignment horizontal="left" vertical="center"/>
    </xf>
    <xf numFmtId="0" fontId="39" fillId="0" borderId="0" xfId="77" applyFont="1" applyAlignment="1">
      <alignment horizontal="left" vertical="center"/>
    </xf>
    <xf numFmtId="0" fontId="39" fillId="0" borderId="0" xfId="77" applyFont="1" applyAlignment="1">
      <alignment horizontal="center" vertical="center"/>
    </xf>
    <xf numFmtId="0" fontId="39" fillId="0" borderId="64" xfId="77" applyFont="1" applyBorder="1" applyAlignment="1">
      <alignment horizontal="left" vertical="center"/>
    </xf>
    <xf numFmtId="0" fontId="7" fillId="0" borderId="64" xfId="77" applyFont="1" applyBorder="1" applyAlignment="1">
      <alignment horizontal="left" vertical="center" indent="2"/>
    </xf>
    <xf numFmtId="0" fontId="7" fillId="0" borderId="36" xfId="77" applyFont="1" applyBorder="1" applyAlignment="1">
      <alignment horizontal="left" vertical="center" indent="2"/>
    </xf>
    <xf numFmtId="0" fontId="40" fillId="0" borderId="15" xfId="77" applyFont="1" applyBorder="1" applyAlignment="1">
      <alignment horizontal="left" vertical="top"/>
    </xf>
    <xf numFmtId="0" fontId="40" fillId="0" borderId="0" xfId="77" applyFont="1" applyAlignment="1">
      <alignment horizontal="left" vertical="top"/>
    </xf>
    <xf numFmtId="0" fontId="40" fillId="0" borderId="51" xfId="77" applyFont="1" applyBorder="1" applyAlignment="1">
      <alignment horizontal="left" vertical="top"/>
    </xf>
    <xf numFmtId="0" fontId="40" fillId="0" borderId="7" xfId="77" applyFont="1" applyBorder="1" applyAlignment="1">
      <alignment horizontal="left" vertical="top"/>
    </xf>
    <xf numFmtId="0" fontId="40" fillId="0" borderId="64" xfId="77" applyFont="1" applyBorder="1" applyAlignment="1">
      <alignment horizontal="left" vertical="top"/>
    </xf>
    <xf numFmtId="0" fontId="40" fillId="0" borderId="36" xfId="77" applyFont="1" applyBorder="1" applyAlignment="1">
      <alignment horizontal="left" vertical="top"/>
    </xf>
    <xf numFmtId="0" fontId="39" fillId="0" borderId="61" xfId="77" applyFont="1" applyBorder="1" applyAlignment="1">
      <alignment horizontal="left" vertical="top"/>
    </xf>
    <xf numFmtId="0" fontId="39" fillId="0" borderId="43" xfId="77" applyFont="1" applyBorder="1" applyAlignment="1">
      <alignment horizontal="left" vertical="top"/>
    </xf>
    <xf numFmtId="0" fontId="39" fillId="0" borderId="15" xfId="77" applyFont="1" applyBorder="1" applyAlignment="1">
      <alignment horizontal="center" vertical="center"/>
    </xf>
    <xf numFmtId="0" fontId="39" fillId="0" borderId="0" xfId="77" applyFont="1" applyAlignment="1">
      <alignment horizontal="right" vertical="center"/>
    </xf>
    <xf numFmtId="0" fontId="39" fillId="0" borderId="51" xfId="77" applyFont="1" applyBorder="1" applyAlignment="1">
      <alignment horizontal="center" vertical="center"/>
    </xf>
    <xf numFmtId="0" fontId="11" fillId="0" borderId="6" xfId="0" applyFont="1" applyBorder="1" applyAlignment="1">
      <alignment horizontal="center" vertical="center" wrapText="1"/>
    </xf>
    <xf numFmtId="0" fontId="11" fillId="2" borderId="6" xfId="0" applyFont="1" applyFill="1" applyBorder="1" applyAlignment="1">
      <alignment horizontal="center" vertical="center" wrapText="1"/>
    </xf>
    <xf numFmtId="0" fontId="14" fillId="0" borderId="8" xfId="8" applyFont="1" applyBorder="1" applyAlignment="1">
      <alignment vertical="center" wrapText="1"/>
    </xf>
    <xf numFmtId="0" fontId="14" fillId="0" borderId="32" xfId="8" applyFont="1" applyBorder="1" applyAlignment="1">
      <alignment horizontal="center" vertical="center" wrapText="1"/>
    </xf>
    <xf numFmtId="0" fontId="14" fillId="0" borderId="30" xfId="8" applyFont="1" applyBorder="1" applyAlignment="1">
      <alignment horizontal="center" vertical="center" wrapText="1"/>
    </xf>
    <xf numFmtId="0" fontId="14" fillId="0" borderId="31" xfId="8" applyFont="1" applyBorder="1" applyAlignment="1">
      <alignment horizontal="center" vertical="center" wrapText="1"/>
    </xf>
    <xf numFmtId="0" fontId="11" fillId="2" borderId="2" xfId="0" quotePrefix="1" applyFont="1" applyFill="1" applyBorder="1" applyAlignment="1">
      <alignment horizontal="center" vertical="center" wrapText="1"/>
    </xf>
    <xf numFmtId="0" fontId="11" fillId="2" borderId="3" xfId="0" applyFont="1" applyFill="1" applyBorder="1" applyAlignment="1">
      <alignment horizontal="center" vertical="center" wrapText="1"/>
    </xf>
    <xf numFmtId="0" fontId="14" fillId="0" borderId="22" xfId="8" applyFont="1" applyBorder="1" applyAlignment="1">
      <alignment horizontal="center" vertical="center" wrapText="1"/>
    </xf>
    <xf numFmtId="0" fontId="14" fillId="0" borderId="24" xfId="8" applyFont="1" applyBorder="1" applyAlignment="1">
      <alignment horizontal="center" vertical="center" wrapText="1"/>
    </xf>
    <xf numFmtId="0" fontId="14" fillId="0" borderId="25" xfId="8" applyFont="1" applyBorder="1" applyAlignment="1">
      <alignment horizontal="center" vertical="center" wrapText="1"/>
    </xf>
    <xf numFmtId="0" fontId="14" fillId="0" borderId="26" xfId="8" applyFont="1" applyBorder="1" applyAlignment="1">
      <alignment horizontal="center" vertical="center" wrapText="1"/>
    </xf>
    <xf numFmtId="0" fontId="11" fillId="0" borderId="2" xfId="0" quotePrefix="1" applyFont="1" applyBorder="1" applyAlignment="1">
      <alignment horizontal="center" vertical="center" wrapText="1"/>
    </xf>
    <xf numFmtId="0" fontId="11" fillId="0" borderId="3" xfId="0" applyFont="1" applyBorder="1" applyAlignment="1">
      <alignment horizontal="center" vertical="center" wrapText="1"/>
    </xf>
    <xf numFmtId="0" fontId="11" fillId="2" borderId="2" xfId="0" applyFont="1" applyFill="1" applyBorder="1" applyAlignment="1">
      <alignment horizontal="center" vertical="center" wrapText="1"/>
    </xf>
    <xf numFmtId="165" fontId="11" fillId="2" borderId="2" xfId="0" applyNumberFormat="1" applyFont="1" applyFill="1" applyBorder="1" applyAlignment="1">
      <alignment horizontal="center" vertical="center" wrapText="1"/>
    </xf>
    <xf numFmtId="165" fontId="11" fillId="2" borderId="3" xfId="0" applyNumberFormat="1" applyFont="1" applyFill="1" applyBorder="1" applyAlignment="1">
      <alignment horizontal="center" vertical="center" wrapText="1"/>
    </xf>
    <xf numFmtId="0" fontId="18" fillId="0" borderId="6" xfId="0" applyFont="1" applyBorder="1" applyAlignment="1">
      <alignment horizontal="center" vertical="center"/>
    </xf>
    <xf numFmtId="0" fontId="11" fillId="0" borderId="6" xfId="0" applyFont="1" applyBorder="1" applyAlignment="1">
      <alignment horizontal="center" vertical="center"/>
    </xf>
    <xf numFmtId="0" fontId="14" fillId="0" borderId="16" xfId="8" applyFont="1" applyBorder="1" applyAlignment="1">
      <alignment vertical="center" wrapText="1"/>
    </xf>
    <xf numFmtId="0" fontId="14" fillId="0" borderId="4" xfId="8" applyFont="1" applyBorder="1" applyAlignment="1">
      <alignment horizontal="center" vertical="center" wrapText="1"/>
    </xf>
    <xf numFmtId="0" fontId="14" fillId="0" borderId="1" xfId="8" applyFont="1" applyBorder="1" applyAlignment="1">
      <alignment horizontal="center" vertical="center" wrapText="1"/>
    </xf>
    <xf numFmtId="0" fontId="14" fillId="0" borderId="50" xfId="8" applyFont="1" applyBorder="1" applyAlignment="1">
      <alignment horizontal="center" vertical="center" wrapText="1"/>
    </xf>
    <xf numFmtId="0" fontId="14" fillId="0" borderId="6" xfId="8" applyFont="1" applyBorder="1" applyAlignment="1">
      <alignment horizontal="center" vertical="center" wrapText="1"/>
    </xf>
    <xf numFmtId="0" fontId="11" fillId="0" borderId="15" xfId="0" applyFont="1" applyBorder="1" applyAlignment="1">
      <alignment horizontal="center" vertical="center"/>
    </xf>
    <xf numFmtId="0" fontId="11" fillId="0" borderId="51" xfId="0" applyFont="1" applyBorder="1" applyAlignment="1">
      <alignment horizontal="center" vertical="center"/>
    </xf>
    <xf numFmtId="0" fontId="11" fillId="0" borderId="15" xfId="0" applyFont="1" applyBorder="1" applyAlignment="1">
      <alignment horizontal="center" vertical="center" wrapText="1"/>
    </xf>
    <xf numFmtId="0" fontId="11" fillId="0" borderId="51" xfId="0" applyFont="1" applyBorder="1" applyAlignment="1">
      <alignment horizontal="center" vertical="center" wrapText="1"/>
    </xf>
    <xf numFmtId="0" fontId="11" fillId="0" borderId="7" xfId="0" applyFont="1" applyBorder="1" applyAlignment="1">
      <alignment horizontal="center" vertical="center"/>
    </xf>
    <xf numFmtId="0" fontId="11" fillId="0" borderId="36" xfId="0" applyFont="1" applyBorder="1" applyAlignment="1">
      <alignment horizontal="center" vertical="center"/>
    </xf>
    <xf numFmtId="0" fontId="11" fillId="0" borderId="6" xfId="0" applyFont="1" applyBorder="1" applyAlignment="1">
      <alignment horizontal="left" vertical="center"/>
    </xf>
    <xf numFmtId="0" fontId="11" fillId="0" borderId="8" xfId="0" applyFont="1" applyBorder="1" applyAlignment="1">
      <alignment horizontal="center" vertical="center"/>
    </xf>
    <xf numFmtId="0" fontId="11" fillId="0" borderId="2" xfId="0" applyFont="1" applyBorder="1" applyAlignment="1">
      <alignment horizontal="left" vertical="center"/>
    </xf>
    <xf numFmtId="0" fontId="11" fillId="0" borderId="9" xfId="0" applyFont="1" applyBorder="1" applyAlignment="1">
      <alignment horizontal="left" vertical="center"/>
    </xf>
    <xf numFmtId="0" fontId="11" fillId="0" borderId="3" xfId="0" applyFont="1" applyBorder="1" applyAlignment="1">
      <alignment horizontal="lef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43" fontId="14" fillId="0" borderId="2" xfId="18" applyFont="1" applyFill="1" applyBorder="1" applyAlignment="1">
      <alignment horizontal="center" vertical="center" wrapText="1"/>
    </xf>
    <xf numFmtId="43" fontId="16" fillId="0" borderId="73" xfId="18" applyFont="1" applyBorder="1" applyAlignment="1">
      <alignment horizontal="center" vertical="center" wrapText="1"/>
    </xf>
    <xf numFmtId="43" fontId="16" fillId="0" borderId="72" xfId="18" applyFont="1" applyBorder="1" applyAlignment="1">
      <alignment horizontal="center" vertical="center" wrapText="1"/>
    </xf>
    <xf numFmtId="43" fontId="13" fillId="0" borderId="66" xfId="18" applyFont="1" applyFill="1" applyBorder="1" applyAlignment="1">
      <alignment horizontal="center" vertical="center" wrapText="1"/>
    </xf>
    <xf numFmtId="4" fontId="8" fillId="0" borderId="69" xfId="31" applyNumberFormat="1" applyFont="1" applyBorder="1" applyAlignment="1">
      <alignment horizontal="left" vertical="center"/>
    </xf>
    <xf numFmtId="0" fontId="8" fillId="0" borderId="68" xfId="31" applyFont="1" applyBorder="1" applyAlignment="1">
      <alignment horizontal="left" vertical="center"/>
    </xf>
    <xf numFmtId="2" fontId="8" fillId="0" borderId="66" xfId="17" applyNumberFormat="1" applyFont="1" applyBorder="1" applyAlignment="1">
      <alignment horizontal="center" wrapText="1"/>
    </xf>
    <xf numFmtId="0" fontId="8" fillId="0" borderId="2" xfId="31" applyFont="1" applyBorder="1" applyAlignment="1">
      <alignment horizontal="left" vertical="center"/>
    </xf>
    <xf numFmtId="0" fontId="8" fillId="0" borderId="72" xfId="31" applyFont="1" applyBorder="1" applyAlignment="1">
      <alignment horizontal="left" vertical="center"/>
    </xf>
    <xf numFmtId="2" fontId="8" fillId="0" borderId="6" xfId="17" applyNumberFormat="1" applyFont="1" applyBorder="1" applyAlignment="1">
      <alignment horizontal="center" wrapText="1"/>
    </xf>
    <xf numFmtId="0" fontId="11" fillId="0" borderId="2" xfId="31" applyFont="1" applyBorder="1" applyAlignment="1">
      <alignment horizontal="center" vertical="center"/>
    </xf>
    <xf numFmtId="0" fontId="11" fillId="0" borderId="73" xfId="31" applyFont="1" applyBorder="1" applyAlignment="1">
      <alignment horizontal="center" vertical="center"/>
    </xf>
    <xf numFmtId="0" fontId="11" fillId="0" borderId="72" xfId="31" applyFont="1" applyBorder="1" applyAlignment="1">
      <alignment horizontal="center" vertical="center"/>
    </xf>
    <xf numFmtId="0" fontId="35" fillId="0" borderId="75" xfId="31" applyFont="1" applyBorder="1" applyAlignment="1">
      <alignment horizontal="center" vertical="center"/>
    </xf>
    <xf numFmtId="0" fontId="35" fillId="0" borderId="53" xfId="31" applyFont="1" applyBorder="1" applyAlignment="1">
      <alignment horizontal="center" vertical="center"/>
    </xf>
    <xf numFmtId="0" fontId="35" fillId="0" borderId="76" xfId="31" applyFont="1" applyBorder="1" applyAlignment="1">
      <alignment horizontal="center" vertical="center"/>
    </xf>
    <xf numFmtId="4" fontId="8" fillId="0" borderId="35" xfId="31" applyNumberFormat="1" applyFont="1" applyBorder="1" applyAlignment="1">
      <alignment horizontal="left" vertical="center"/>
    </xf>
    <xf numFmtId="0" fontId="8" fillId="0" borderId="78" xfId="31" applyFont="1" applyBorder="1" applyAlignment="1">
      <alignment horizontal="left" vertical="center"/>
    </xf>
    <xf numFmtId="2" fontId="8" fillId="0" borderId="12" xfId="17" applyNumberFormat="1" applyFont="1" applyBorder="1" applyAlignment="1">
      <alignment horizontal="center" wrapText="1"/>
    </xf>
    <xf numFmtId="4" fontId="13" fillId="0" borderId="2" xfId="31" applyNumberFormat="1" applyFont="1" applyBorder="1" applyAlignment="1">
      <alignment horizontal="center" vertical="center"/>
    </xf>
    <xf numFmtId="4" fontId="13" fillId="0" borderId="72" xfId="31" applyNumberFormat="1" applyFont="1" applyBorder="1" applyAlignment="1">
      <alignment horizontal="center" vertical="center"/>
    </xf>
    <xf numFmtId="4" fontId="13" fillId="0" borderId="73" xfId="31" applyNumberFormat="1" applyFont="1" applyBorder="1" applyAlignment="1">
      <alignment horizontal="center" vertical="center"/>
    </xf>
    <xf numFmtId="43" fontId="13" fillId="0" borderId="6" xfId="18" applyFont="1" applyFill="1" applyBorder="1" applyAlignment="1">
      <alignment horizontal="center" vertical="center" wrapText="1"/>
    </xf>
    <xf numFmtId="43" fontId="13" fillId="0" borderId="10" xfId="18" applyFont="1" applyFill="1" applyBorder="1" applyAlignment="1">
      <alignment horizontal="right" vertical="center" wrapText="1"/>
    </xf>
    <xf numFmtId="0" fontId="8" fillId="0" borderId="69" xfId="31" applyFont="1" applyBorder="1" applyAlignment="1">
      <alignment horizontal="left" vertical="center"/>
    </xf>
    <xf numFmtId="0" fontId="8" fillId="0" borderId="2" xfId="31" applyFont="1" applyBorder="1" applyAlignment="1">
      <alignment horizontal="center" vertical="center"/>
    </xf>
    <xf numFmtId="0" fontId="8" fillId="0" borderId="72" xfId="31" applyFont="1" applyBorder="1" applyAlignment="1">
      <alignment horizontal="center" vertical="center"/>
    </xf>
    <xf numFmtId="0" fontId="8" fillId="0" borderId="5" xfId="31" applyFont="1" applyBorder="1" applyAlignment="1">
      <alignment horizontal="center" vertical="center" wrapText="1"/>
    </xf>
    <xf numFmtId="0" fontId="8" fillId="0" borderId="16" xfId="31" applyFont="1" applyBorder="1" applyAlignment="1">
      <alignment horizontal="center" vertical="center" wrapText="1"/>
    </xf>
    <xf numFmtId="0" fontId="8" fillId="0" borderId="8" xfId="31" applyFont="1" applyBorder="1" applyAlignment="1">
      <alignment horizontal="center" vertical="center" wrapText="1"/>
    </xf>
    <xf numFmtId="0" fontId="8" fillId="0" borderId="6" xfId="31" applyFont="1" applyBorder="1" applyAlignment="1">
      <alignment horizontal="center" vertical="center" wrapText="1"/>
    </xf>
    <xf numFmtId="0" fontId="8" fillId="3" borderId="5" xfId="31" applyFont="1" applyFill="1" applyBorder="1" applyAlignment="1">
      <alignment horizontal="center" vertical="center" wrapText="1"/>
    </xf>
    <xf numFmtId="0" fontId="8" fillId="3" borderId="8" xfId="31" applyFont="1" applyFill="1" applyBorder="1" applyAlignment="1">
      <alignment horizontal="center" vertical="center" wrapText="1"/>
    </xf>
    <xf numFmtId="0" fontId="8" fillId="0" borderId="34" xfId="31" applyFont="1" applyBorder="1" applyAlignment="1">
      <alignment horizontal="left" vertical="center"/>
    </xf>
    <xf numFmtId="0" fontId="8" fillId="0" borderId="77" xfId="31" applyFont="1" applyBorder="1" applyAlignment="1">
      <alignment horizontal="left" vertical="center"/>
    </xf>
    <xf numFmtId="2" fontId="8" fillId="0" borderId="10" xfId="75" applyNumberFormat="1" applyFont="1" applyBorder="1" applyAlignment="1">
      <alignment horizontal="center" wrapText="1"/>
    </xf>
    <xf numFmtId="0" fontId="8" fillId="0" borderId="67" xfId="31" applyFont="1" applyBorder="1" applyAlignment="1">
      <alignment horizontal="left" vertical="center"/>
    </xf>
    <xf numFmtId="0" fontId="8" fillId="0" borderId="12" xfId="31" applyFont="1" applyBorder="1" applyAlignment="1">
      <alignment horizontal="center" vertical="center"/>
    </xf>
    <xf numFmtId="0" fontId="8" fillId="0" borderId="6" xfId="31" applyFont="1" applyBorder="1" applyAlignment="1">
      <alignment horizontal="center" vertical="center"/>
    </xf>
    <xf numFmtId="0" fontId="8" fillId="0" borderId="4" xfId="31" applyFont="1" applyBorder="1" applyAlignment="1">
      <alignment horizontal="center" vertical="center" wrapText="1"/>
    </xf>
    <xf numFmtId="0" fontId="8" fillId="0" borderId="71" xfId="31" applyFont="1" applyBorder="1" applyAlignment="1">
      <alignment horizontal="center" vertical="center" wrapText="1"/>
    </xf>
    <xf numFmtId="0" fontId="8" fillId="0" borderId="15" xfId="31" applyFont="1" applyBorder="1" applyAlignment="1">
      <alignment horizontal="center" vertical="center" wrapText="1"/>
    </xf>
    <xf numFmtId="0" fontId="8" fillId="0" borderId="51" xfId="31" applyFont="1" applyBorder="1" applyAlignment="1">
      <alignment horizontal="center" vertical="center" wrapText="1"/>
    </xf>
    <xf numFmtId="0" fontId="8" fillId="0" borderId="7" xfId="31" applyFont="1" applyBorder="1" applyAlignment="1">
      <alignment horizontal="center" vertical="center" wrapText="1"/>
    </xf>
    <xf numFmtId="0" fontId="8" fillId="0" borderId="36" xfId="31" applyFont="1" applyBorder="1" applyAlignment="1">
      <alignment horizontal="center" vertical="center" wrapText="1"/>
    </xf>
    <xf numFmtId="0" fontId="17" fillId="0" borderId="43" xfId="64" applyFont="1" applyBorder="1" applyAlignment="1">
      <alignment horizontal="left" vertical="center" wrapText="1"/>
    </xf>
    <xf numFmtId="0" fontId="8" fillId="0" borderId="34" xfId="31" applyFont="1" applyBorder="1" applyAlignment="1">
      <alignment horizontal="left" vertical="center" wrapText="1"/>
    </xf>
    <xf numFmtId="0" fontId="8" fillId="0" borderId="65" xfId="31" applyFont="1" applyBorder="1" applyAlignment="1">
      <alignment horizontal="left" vertical="center" wrapText="1"/>
    </xf>
    <xf numFmtId="0" fontId="8" fillId="0" borderId="77" xfId="31" applyFont="1" applyBorder="1" applyAlignment="1">
      <alignment horizontal="left" vertical="center" wrapText="1"/>
    </xf>
    <xf numFmtId="0" fontId="8" fillId="0" borderId="69" xfId="31" applyFont="1" applyBorder="1" applyAlignment="1">
      <alignment horizontal="center" vertical="center"/>
    </xf>
    <xf numFmtId="0" fontId="8" fillId="0" borderId="67" xfId="31" applyFont="1" applyBorder="1" applyAlignment="1">
      <alignment horizontal="center" vertical="center"/>
    </xf>
    <xf numFmtId="0" fontId="8" fillId="0" borderId="68" xfId="31" applyFont="1" applyBorder="1" applyAlignment="1">
      <alignment horizontal="center" vertical="center"/>
    </xf>
    <xf numFmtId="0" fontId="35" fillId="0" borderId="67" xfId="31" applyFont="1" applyBorder="1" applyAlignment="1">
      <alignment horizontal="left" vertical="center"/>
    </xf>
    <xf numFmtId="0" fontId="35" fillId="0" borderId="68" xfId="31" applyFont="1" applyBorder="1" applyAlignment="1">
      <alignment horizontal="left" vertical="center"/>
    </xf>
  </cellXfs>
  <cellStyles count="82">
    <cellStyle name="Comma" xfId="1" builtinId="3"/>
    <cellStyle name="Comma 10" xfId="21" xr:uid="{00000000-0005-0000-0000-000001000000}"/>
    <cellStyle name="Comma 13 2 2" xfId="80" xr:uid="{00000000-0005-0000-0000-000002000000}"/>
    <cellStyle name="Comma 2" xfId="4" xr:uid="{00000000-0005-0000-0000-000003000000}"/>
    <cellStyle name="Comma 2 2" xfId="17" xr:uid="{00000000-0005-0000-0000-000004000000}"/>
    <cellStyle name="Comma 2 2 2" xfId="22" xr:uid="{00000000-0005-0000-0000-000005000000}"/>
    <cellStyle name="Comma 2 3" xfId="23" xr:uid="{00000000-0005-0000-0000-000006000000}"/>
    <cellStyle name="Comma 3" xfId="5" xr:uid="{00000000-0005-0000-0000-000007000000}"/>
    <cellStyle name="Comma 4" xfId="18" xr:uid="{00000000-0005-0000-0000-000008000000}"/>
    <cellStyle name="Comma 5" xfId="12" xr:uid="{00000000-0005-0000-0000-000009000000}"/>
    <cellStyle name="Comma 6" xfId="24" xr:uid="{00000000-0005-0000-0000-00000A000000}"/>
    <cellStyle name="Comma 6 2" xfId="25" xr:uid="{00000000-0005-0000-0000-00000B000000}"/>
    <cellStyle name="Comma 7" xfId="26" xr:uid="{00000000-0005-0000-0000-00000C000000}"/>
    <cellStyle name="Comma 8" xfId="27" xr:uid="{00000000-0005-0000-0000-00000D000000}"/>
    <cellStyle name="Comma 9" xfId="20" xr:uid="{00000000-0005-0000-0000-00000E000000}"/>
    <cellStyle name="Microsoft Excel found an error in the formula you entered. Do you want to accept the correction proposed below?_x000a__x000a_|_x000a__x000a_• To accept the correction, click Yes._x000a_• To close this message and correct the formula yourself, click No." xfId="28" xr:uid="{00000000-0005-0000-0000-00000F000000}"/>
    <cellStyle name="MS_Arabic" xfId="29" xr:uid="{00000000-0005-0000-0000-000010000000}"/>
    <cellStyle name="Normal" xfId="0" builtinId="0"/>
    <cellStyle name="Normal 10" xfId="30" xr:uid="{00000000-0005-0000-0000-000012000000}"/>
    <cellStyle name="Normal 10 2" xfId="31" xr:uid="{00000000-0005-0000-0000-000013000000}"/>
    <cellStyle name="Normal 11" xfId="8" xr:uid="{00000000-0005-0000-0000-000014000000}"/>
    <cellStyle name="Normal 11 2" xfId="19" xr:uid="{00000000-0005-0000-0000-000015000000}"/>
    <cellStyle name="Normal 12" xfId="32" xr:uid="{00000000-0005-0000-0000-000016000000}"/>
    <cellStyle name="Normal 12 2" xfId="33" xr:uid="{00000000-0005-0000-0000-000017000000}"/>
    <cellStyle name="Normal 12 2 2" xfId="77" xr:uid="{00000000-0005-0000-0000-000018000000}"/>
    <cellStyle name="Normal 13" xfId="34" xr:uid="{00000000-0005-0000-0000-000019000000}"/>
    <cellStyle name="Normal 2" xfId="6" xr:uid="{00000000-0005-0000-0000-00001A000000}"/>
    <cellStyle name="Normal 2 2" xfId="9" xr:uid="{00000000-0005-0000-0000-00001B000000}"/>
    <cellStyle name="Normal 2 4 2" xfId="35" xr:uid="{00000000-0005-0000-0000-00001C000000}"/>
    <cellStyle name="Normal 22" xfId="74" xr:uid="{00000000-0005-0000-0000-00001D000000}"/>
    <cellStyle name="Normal 24 2_Bill 06 CP9 ( 23.03.2012 )" xfId="76" xr:uid="{00000000-0005-0000-0000-00001E000000}"/>
    <cellStyle name="Normal 3" xfId="15" xr:uid="{00000000-0005-0000-0000-00001F000000}"/>
    <cellStyle name="Normal 3 2" xfId="36" xr:uid="{00000000-0005-0000-0000-000020000000}"/>
    <cellStyle name="Normal 4" xfId="37" xr:uid="{00000000-0005-0000-0000-000021000000}"/>
    <cellStyle name="Normal 5" xfId="13" xr:uid="{00000000-0005-0000-0000-000022000000}"/>
    <cellStyle name="Normal 6" xfId="7" xr:uid="{00000000-0005-0000-0000-000023000000}"/>
    <cellStyle name="Normal 6 2" xfId="38" xr:uid="{00000000-0005-0000-0000-000024000000}"/>
    <cellStyle name="Normal 6 2 2" xfId="39" xr:uid="{00000000-0005-0000-0000-000025000000}"/>
    <cellStyle name="Normal 6 2 2 2" xfId="40" xr:uid="{00000000-0005-0000-0000-000026000000}"/>
    <cellStyle name="Normal 6 2 2 2 2" xfId="41" xr:uid="{00000000-0005-0000-0000-000027000000}"/>
    <cellStyle name="Normal 6 2 2 2 2 2" xfId="42" xr:uid="{00000000-0005-0000-0000-000028000000}"/>
    <cellStyle name="Normal 6 2 2 2 3" xfId="43" xr:uid="{00000000-0005-0000-0000-000029000000}"/>
    <cellStyle name="Normal 6 2 2 2 3 2" xfId="44" xr:uid="{00000000-0005-0000-0000-00002A000000}"/>
    <cellStyle name="Normal 6 2 2 2 4" xfId="45" xr:uid="{00000000-0005-0000-0000-00002B000000}"/>
    <cellStyle name="Normal 6 2 2 2 4 2" xfId="46" xr:uid="{00000000-0005-0000-0000-00002C000000}"/>
    <cellStyle name="Normal 6 2 2 2 4 3" xfId="47" xr:uid="{00000000-0005-0000-0000-00002D000000}"/>
    <cellStyle name="Normal 6 2 2 2 5" xfId="48" xr:uid="{00000000-0005-0000-0000-00002E000000}"/>
    <cellStyle name="Normal 6 2 3" xfId="49" xr:uid="{00000000-0005-0000-0000-00002F000000}"/>
    <cellStyle name="Normal 6 2 3 2" xfId="50" xr:uid="{00000000-0005-0000-0000-000030000000}"/>
    <cellStyle name="Normal 6 3" xfId="51" xr:uid="{00000000-0005-0000-0000-000031000000}"/>
    <cellStyle name="Normal 6 3 2" xfId="52" xr:uid="{00000000-0005-0000-0000-000032000000}"/>
    <cellStyle name="Normal 6 3 2 2" xfId="53" xr:uid="{00000000-0005-0000-0000-000033000000}"/>
    <cellStyle name="Normal 6 3 2 2 2" xfId="54" xr:uid="{00000000-0005-0000-0000-000034000000}"/>
    <cellStyle name="Normal 6 3 2 2 2 2" xfId="55" xr:uid="{00000000-0005-0000-0000-000035000000}"/>
    <cellStyle name="Normal 6 3 2 3" xfId="56" xr:uid="{00000000-0005-0000-0000-000036000000}"/>
    <cellStyle name="Normal 6 3 2 3 2" xfId="57" xr:uid="{00000000-0005-0000-0000-000037000000}"/>
    <cellStyle name="Normal 6 3 2 4" xfId="58" xr:uid="{00000000-0005-0000-0000-000038000000}"/>
    <cellStyle name="Normal 6 3 2 4 2" xfId="59" xr:uid="{00000000-0005-0000-0000-000039000000}"/>
    <cellStyle name="Normal 6 3 2 4 2 2" xfId="60" xr:uid="{00000000-0005-0000-0000-00003A000000}"/>
    <cellStyle name="Normal 6 3 2 4 3" xfId="61" xr:uid="{00000000-0005-0000-0000-00003B000000}"/>
    <cellStyle name="Normal 6 3 2 5" xfId="62" xr:uid="{00000000-0005-0000-0000-00003C000000}"/>
    <cellStyle name="Normal 6 4" xfId="63" xr:uid="{00000000-0005-0000-0000-00003D000000}"/>
    <cellStyle name="Normal 6 4 2" xfId="64" xr:uid="{00000000-0005-0000-0000-00003E000000}"/>
    <cellStyle name="Normal 6 4 2 2" xfId="65" xr:uid="{00000000-0005-0000-0000-00003F000000}"/>
    <cellStyle name="Normal 6 4 2 3" xfId="66" xr:uid="{00000000-0005-0000-0000-000040000000}"/>
    <cellStyle name="Normal 6 4 2 4" xfId="67" xr:uid="{00000000-0005-0000-0000-000041000000}"/>
    <cellStyle name="Normal 7" xfId="68" xr:uid="{00000000-0005-0000-0000-000042000000}"/>
    <cellStyle name="Normal 8" xfId="14" xr:uid="{00000000-0005-0000-0000-000043000000}"/>
    <cellStyle name="Normal 8 2" xfId="10" xr:uid="{00000000-0005-0000-0000-000044000000}"/>
    <cellStyle name="Normal 8 2 2" xfId="16" xr:uid="{00000000-0005-0000-0000-000045000000}"/>
    <cellStyle name="Normal 8 2 2 2 2" xfId="79" xr:uid="{00000000-0005-0000-0000-000046000000}"/>
    <cellStyle name="Normal 8 2 2 3" xfId="81" xr:uid="{00000000-0005-0000-0000-000047000000}"/>
    <cellStyle name="Normal 8 2 4" xfId="69" xr:uid="{00000000-0005-0000-0000-000048000000}"/>
    <cellStyle name="Normal 9" xfId="70" xr:uid="{00000000-0005-0000-0000-000049000000}"/>
    <cellStyle name="Normal_A_2.2_Earthworks_Excavation_BQ by Takeda(26Jan2005)" xfId="2" xr:uid="{00000000-0005-0000-0000-00004A000000}"/>
    <cellStyle name="Normal_format" xfId="78" xr:uid="{00000000-0005-0000-0000-00004B000000}"/>
    <cellStyle name="Percent 2" xfId="11" xr:uid="{00000000-0005-0000-0000-00004C000000}"/>
    <cellStyle name="Percent 3" xfId="75" xr:uid="{00000000-0005-0000-0000-00004D000000}"/>
    <cellStyle name="Style 1" xfId="71" xr:uid="{00000000-0005-0000-0000-00004E000000}"/>
    <cellStyle name="표준_BOQ-MajorBridges" xfId="72" xr:uid="{00000000-0005-0000-0000-00004F000000}"/>
    <cellStyle name="桁区切り [0.00]_新SR1-8" xfId="73" xr:uid="{00000000-0005-0000-0000-000050000000}"/>
    <cellStyle name="標準_A_1_Preliminary" xfId="3" xr:uid="{00000000-0005-0000-0000-00005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externalLink" Target="externalLinks/externalLink2.xml" /><Relationship Id="rId26" Type="http://schemas.openxmlformats.org/officeDocument/2006/relationships/externalLink" Target="externalLinks/externalLink10.xml" /><Relationship Id="rId3" Type="http://schemas.openxmlformats.org/officeDocument/2006/relationships/worksheet" Target="worksheets/sheet3.xml" /><Relationship Id="rId21" Type="http://schemas.openxmlformats.org/officeDocument/2006/relationships/externalLink" Target="externalLinks/externalLink5.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externalLink" Target="externalLinks/externalLink1.xml" /><Relationship Id="rId25" Type="http://schemas.openxmlformats.org/officeDocument/2006/relationships/externalLink" Target="externalLinks/externalLink9.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externalLink" Target="externalLinks/externalLink4.xml" /><Relationship Id="rId29" Type="http://schemas.openxmlformats.org/officeDocument/2006/relationships/theme" Target="theme/theme1.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externalLink" Target="externalLinks/externalLink8.xml" /><Relationship Id="rId32" Type="http://schemas.openxmlformats.org/officeDocument/2006/relationships/calcChain" Target="calcChain.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openxmlformats.org/officeDocument/2006/relationships/externalLink" Target="externalLinks/externalLink7.xml" /><Relationship Id="rId28" Type="http://schemas.openxmlformats.org/officeDocument/2006/relationships/externalLink" Target="externalLinks/externalLink12.xml" /><Relationship Id="rId10" Type="http://schemas.openxmlformats.org/officeDocument/2006/relationships/worksheet" Target="worksheets/sheet10.xml" /><Relationship Id="rId19" Type="http://schemas.openxmlformats.org/officeDocument/2006/relationships/externalLink" Target="externalLinks/externalLink3.xml" /><Relationship Id="rId31" Type="http://schemas.openxmlformats.org/officeDocument/2006/relationships/sharedStrings" Target="sharedStrings.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externalLink" Target="externalLinks/externalLink6.xml" /><Relationship Id="rId27" Type="http://schemas.openxmlformats.org/officeDocument/2006/relationships/externalLink" Target="externalLinks/externalLink11.xml" /><Relationship Id="rId30" Type="http://schemas.openxmlformats.org/officeDocument/2006/relationships/styles" Target="styles.xml" /></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aleel/_SH114/Val/Boq/cer/val-06-30-08-04-cer.xls" TargetMode="External" /></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 /></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WINDOWS/Desktop/BOQ2000_11.xls" TargetMode="External" /></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DKRP%202012/Piyatissa%20DKRP%202012/c7%20bill%20august/Copy%20of%2006%20%20JKRP_MV_%2031_August_2011.xlsm" TargetMode="External" /></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WINDOWS/Desktop/BOQ2000_11.xls" TargetMode="External" /></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www/AppData/Local/Temp/1-OFFICE/CATIC%20SUB%20CONTRACT/IS%20Format/IS/Final_formats%20-%20Kiriibban%20Ara.xlsx" TargetMode="External" /></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OWER/plant/PlantSch1All.xls" TargetMode="External" /></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Users/www/AppData/Local/Temp/11/chin%20Docs/RDA/Estimate/Samples/Hakmana%20Bridge.xls" TargetMode="External" /></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Users/sanjeewa/Desktop/Cover%20pages.xlsx" TargetMode="External" /></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Suriyakanda/Format/SAC%20Kottawa%20Moragahahena-R.xlsx" TargetMode="External" /></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T%20Prject/IPA/IPA%2035new%20FINAL/IPA35(P2-%20219+800-249+800)Recovery%20of%20Advance%20Payment..xlsx" TargetMode="External" /></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QS/CP-02/IPC%2007(CP-02).xlsx"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dd1- 2"/>
      <sheetName val="add1 sum"/>
      <sheetName val="ad rd3"/>
      <sheetName val="add3 summ"/>
      <sheetName val="G SUM"/>
      <sheetName val="BOQ"/>
      <sheetName val="etc alt"/>
      <sheetName val="B1 cal"/>
      <sheetName val="MOS"/>
      <sheetName val="sevice addi"/>
      <sheetName val="DW ETC"/>
      <sheetName val="DW GAS"/>
      <sheetName val="service add sum"/>
      <sheetName val="Material at site"/>
      <sheetName val="G. SUMMARY"/>
      <sheetName val="B184-1A- P&amp;G"/>
      <sheetName val="Cumulative "/>
      <sheetName val="GL S. OF C8"/>
      <sheetName val="B184-1B-P&amp;G"/>
      <sheetName val="B184-B-4"/>
      <sheetName val="B184-B-7"/>
      <sheetName val="B184-B-9.1"/>
      <sheetName val="B185-B-8"/>
      <sheetName val="Bill 01A"/>
      <sheetName val="FitOutConfCentre"/>
      <sheetName val="B-185-G. S"/>
      <sheetName val="wording"/>
      <sheetName val="val-06-30-08-04-cer"/>
      <sheetName val="PROFIT"/>
      <sheetName val="F-6 COVER"/>
      <sheetName val="Sum"/>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Cash2"/>
      <sheetName val="Z"/>
      <sheetName val="add1-_21"/>
      <sheetName val="add1_sum1"/>
      <sheetName val="ad_rd31"/>
      <sheetName val="add3_summ1"/>
      <sheetName val="G_SUM1"/>
      <sheetName val="etc_alt1"/>
      <sheetName val="B1_cal1"/>
      <sheetName val="sevice_addi1"/>
      <sheetName val="DW_ETC1"/>
      <sheetName val="DW_GAS1"/>
      <sheetName val="service_add_sum1"/>
      <sheetName val="Material_at_site1"/>
      <sheetName val="G__SUMMARY1"/>
      <sheetName val="B184-1A-_P&amp;G1"/>
      <sheetName val="Cumulative_1"/>
      <sheetName val="GL_S__OF_C81"/>
      <sheetName val="B184-B-9_11"/>
      <sheetName val="Bill_01A1"/>
      <sheetName val="B-185-G__S1"/>
      <sheetName val="add1-_2"/>
      <sheetName val="add1_sum"/>
      <sheetName val="ad_rd3"/>
      <sheetName val="add3_summ"/>
      <sheetName val="G_SUM"/>
      <sheetName val="etc_alt"/>
      <sheetName val="B1_cal"/>
      <sheetName val="sevice_addi"/>
      <sheetName val="DW_ETC"/>
      <sheetName val="DW_GAS"/>
      <sheetName val="service_add_sum"/>
      <sheetName val="Material_at_site"/>
      <sheetName val="G__SUMMARY"/>
      <sheetName val="B184-1A-_P&amp;G"/>
      <sheetName val="Cumulative_"/>
      <sheetName val="GL_S__OF_C8"/>
      <sheetName val="B184-B-9_1"/>
      <sheetName val="Bill_01A"/>
      <sheetName val="B-185-G__S"/>
      <sheetName val="add1-_24"/>
      <sheetName val="add1_sum4"/>
      <sheetName val="ad_rd34"/>
      <sheetName val="add3_summ4"/>
      <sheetName val="G_SUM4"/>
      <sheetName val="etc_alt4"/>
      <sheetName val="B1_cal4"/>
      <sheetName val="sevice_addi4"/>
      <sheetName val="DW_ETC4"/>
      <sheetName val="DW_GAS4"/>
      <sheetName val="service_add_sum4"/>
      <sheetName val="Material_at_site4"/>
      <sheetName val="G__SUMMARY4"/>
      <sheetName val="B184-1A-_P&amp;G4"/>
      <sheetName val="Cumulative_4"/>
      <sheetName val="GL_S__OF_C84"/>
      <sheetName val="B184-B-9_14"/>
      <sheetName val="Bill_01A4"/>
      <sheetName val="B-185-G__S4"/>
      <sheetName val="add1-_23"/>
      <sheetName val="add1_sum3"/>
      <sheetName val="ad_rd33"/>
      <sheetName val="add3_summ3"/>
      <sheetName val="G_SUM3"/>
      <sheetName val="etc_alt3"/>
      <sheetName val="B1_cal3"/>
      <sheetName val="sevice_addi3"/>
      <sheetName val="DW_ETC3"/>
      <sheetName val="DW_GAS3"/>
      <sheetName val="service_add_sum3"/>
      <sheetName val="Material_at_site3"/>
      <sheetName val="G__SUMMARY3"/>
      <sheetName val="B184-1A-_P&amp;G3"/>
      <sheetName val="Cumulative_3"/>
      <sheetName val="GL_S__OF_C83"/>
      <sheetName val="B184-B-9_13"/>
      <sheetName val="Bill_01A3"/>
      <sheetName val="B-185-G__S3"/>
      <sheetName val="add1-_22"/>
      <sheetName val="add1_sum2"/>
      <sheetName val="ad_rd32"/>
      <sheetName val="add3_summ2"/>
      <sheetName val="G_SUM2"/>
      <sheetName val="etc_alt2"/>
      <sheetName val="B1_cal2"/>
      <sheetName val="sevice_addi2"/>
      <sheetName val="DW_ETC2"/>
      <sheetName val="DW_GAS2"/>
      <sheetName val="service_add_sum2"/>
      <sheetName val="Material_at_site2"/>
      <sheetName val="G__SUMMARY2"/>
      <sheetName val="B184-1A-_P&amp;G2"/>
      <sheetName val="Cumulative_2"/>
      <sheetName val="GL_S__OF_C82"/>
      <sheetName val="B184-B-9_12"/>
      <sheetName val="Bill_01A2"/>
      <sheetName val="B-185-G__S2"/>
      <sheetName val="add1-_25"/>
      <sheetName val="add1_sum5"/>
      <sheetName val="ad_rd35"/>
      <sheetName val="add3_summ5"/>
      <sheetName val="G_SUM5"/>
      <sheetName val="etc_alt5"/>
      <sheetName val="B1_cal5"/>
      <sheetName val="sevice_addi5"/>
      <sheetName val="DW_ETC5"/>
      <sheetName val="DW_GAS5"/>
      <sheetName val="service_add_sum5"/>
      <sheetName val="Material_at_site5"/>
      <sheetName val="G__SUMMARY5"/>
      <sheetName val="B184-1A-_P&amp;G5"/>
      <sheetName val="Cumulative_5"/>
      <sheetName val="GL_S__OF_C85"/>
      <sheetName val="B184-B-9_15"/>
      <sheetName val="Bill_01A5"/>
      <sheetName val="B-185-G__S5"/>
      <sheetName val="Data"/>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
      <sheetName val="NBT_Calculation"/>
      <sheetName val="Main_VO_Summary"/>
      <sheetName val="VO_Sum_Non(New)"/>
      <sheetName val="VO-07_"/>
      <sheetName val="VO-08_"/>
      <sheetName val="Tk off"/>
      <sheetName val="Tk_off"/>
      <sheetName val="opstat"/>
      <sheetName val="allowances"/>
      <sheetName val="analysis"/>
      <sheetName val="costs"/>
      <sheetName val="tender allowances"/>
      <sheetName val=" Summary BKG 034"/>
      <sheetName val="Bill No.1"/>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PLT-SU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BQ"/>
      <sheetName val="BQ External"/>
      <sheetName val="SHOPLIST"/>
      <sheetName val="Notes"/>
      <sheetName val="Basis"/>
      <sheetName val="TAS"/>
      <sheetName val="#REF"/>
      <sheetName val="icmal"/>
      <sheetName val="SubmitCal"/>
      <sheetName val="Penthouse Apartment"/>
      <sheetName val="LABOUR HISTOGRAM"/>
      <sheetName val="StattCo yCharges"/>
      <sheetName val="GFA_HQ_Building"/>
      <sheetName val="GFA_Conference"/>
      <sheetName val="Su}}ary"/>
      <sheetName val="D-623D"/>
      <sheetName val="Option"/>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Graph Data (DO NOT PRINT)"/>
      <sheetName val="Cash2"/>
      <sheetName val="Z"/>
      <sheetName val="Raw Data"/>
      <sheetName val="1"/>
      <sheetName val="CT Thang Mo"/>
      <sheetName val="Projet, methodes &amp; couts"/>
      <sheetName val="Macro1"/>
      <sheetName val="Planning"/>
      <sheetName val="TAHRIR"/>
      <sheetName val="Bases"/>
      <sheetName val="Risques majeurs &amp; Frais Ind."/>
      <sheetName val="Bouclage"/>
      <sheetName val="AREG_05"/>
      <sheetName val="BOQ"/>
      <sheetName val="Bill No. 2"/>
      <sheetName val="改加胶玻璃、室外栏杆"/>
      <sheetName val="ancillary"/>
      <sheetName val="FOL - Bar"/>
      <sheetName val="Sheet1"/>
      <sheetName val="BQ_External"/>
      <sheetName val="Bill_1"/>
      <sheetName val="Bill_2"/>
      <sheetName val="Bill_3"/>
      <sheetName val="Bill_4"/>
      <sheetName val="Bill_5"/>
      <sheetName val="Bill_6"/>
      <sheetName val="Bill_7"/>
      <sheetName val="CASHFLOWS"/>
      <sheetName val="LEVEL SHEET"/>
      <sheetName val="Sheet2"/>
      <sheetName val="CT  PL"/>
      <sheetName val="SPT vs PHI"/>
      <sheetName val=""/>
      <sheetName val="Data"/>
      <sheetName val="Tender Summary"/>
      <sheetName val="Insurance Ext"/>
      <sheetName val="Prelims"/>
      <sheetName val="企业表一"/>
      <sheetName val="M-5C"/>
      <sheetName val="M-5A"/>
      <sheetName val="budget summary (2)"/>
      <sheetName val="Budget Analysis Summary"/>
      <sheetName val="Body Sheet"/>
      <sheetName val="1.0 Executive Summary"/>
      <sheetName val="Ap A"/>
      <sheetName val="HQ-TO"/>
      <sheetName val="Customize Your Invoice"/>
      <sheetName val="B"/>
      <sheetName val="HVAC BoQ"/>
      <sheetName val="PriceSummary"/>
      <sheetName val="intr stool brkup"/>
      <sheetName val="ANNEXURE-A"/>
      <sheetName val="Top sheet"/>
      <sheetName val="COC"/>
      <sheetName val="Inputs"/>
      <sheetName val="B185-B-2"/>
      <sheetName val="B185-B-3"/>
      <sheetName val="B185-B-4"/>
      <sheetName val="B185-B-5"/>
      <sheetName val="B185-B-6"/>
      <sheetName val="B185-B-7"/>
      <sheetName val="B185-B-8"/>
      <sheetName val="B185-B-9.1"/>
      <sheetName val="B185-B-9.2"/>
      <sheetName val="GFA_HQ_Building1"/>
      <sheetName val="Budget"/>
      <sheetName val="LABOUR_HISTOGRAM"/>
      <sheetName val="JAS"/>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ConferenceCentre_x0000_옰ʒ䄂ʒ鵠ʐ䄂ʒ閐̐䄂ʒ蕈̐"/>
      <sheetName val="List"/>
      <sheetName val="Sheet3"/>
      <sheetName val="d-safe DELUXE"/>
      <sheetName val="Rate analysis"/>
      <sheetName val="2 Div 14 "/>
      <sheetName val="SHOPLIST.xls"/>
      <sheetName val="Bill 2"/>
      <sheetName val="Currencies"/>
      <sheetName val="POWER"/>
      <sheetName val="MTP"/>
      <sheetName val="LABOUR_HISTOGRAM1"/>
      <sheetName val="Geneí¬_x0008_i_x0000__x0000__x0014__x0000_0."/>
      <sheetName val="70_x0000_,/0_x0000_s«_x0008_i_x0000_Æø_x0003_í¬_x0008_i_x0000_"/>
      <sheetName val="기계내역서"/>
      <sheetName val="Tender_Summary"/>
      <sheetName val="Insurance_Ext"/>
      <sheetName val="SAP"/>
      <sheetName val="Bill 1"/>
      <sheetName val="Bill 3"/>
      <sheetName val="Bill 4"/>
      <sheetName val="Bill 5"/>
      <sheetName val="Bill 6"/>
      <sheetName val="Bill 7"/>
      <sheetName val="ACT_SPS"/>
      <sheetName val="SPSF"/>
      <sheetName val="Invoice Summary"/>
      <sheetName val="concrete"/>
      <sheetName val="beam-reinft-IIInd floor"/>
      <sheetName val="VCH-SLC"/>
      <sheetName val="Item- Compact"/>
      <sheetName val="Supplier"/>
      <sheetName val="girder"/>
      <sheetName val="Rocker"/>
      <sheetName val="beam-reinft-machine rm"/>
      <sheetName val="98Price"/>
      <sheetName val="Design"/>
      <sheetName val="Annex"/>
      <sheetName val="factors"/>
      <sheetName val="P4-B"/>
      <sheetName val="Break_Up"/>
      <sheetName val="RESULT"/>
      <sheetName val="IO LIST"/>
      <sheetName val="Formulas"/>
      <sheetName val="Material "/>
      <sheetName val="Quote Sheet"/>
      <sheetName val="PA- Consutant "/>
      <sheetName val="Civil Boq"/>
      <sheetName val="RA-markate"/>
      <sheetName val="BOQ_Direct_selling cost"/>
      <sheetName val="77S(O)"/>
      <sheetName val="upa"/>
      <sheetName val="foot-slab reinft"/>
      <sheetName val="Materials Cost(PCC)"/>
      <sheetName val="India F&amp;S Template"/>
      <sheetName val="CODE"/>
      <sheetName val="HIRED LABOUR CODE"/>
      <sheetName val="P&amp;L-BDMC"/>
      <sheetName val="_x0000__x0000__x0000__x0000__x0000__x0000__x0000__x0000_"/>
      <sheetName val="POWER ASSUMPTIONS"/>
      <sheetName val="PRECAST lightconc-II"/>
      <sheetName val="col-reinft1"/>
      <sheetName val="Voucher"/>
      <sheetName val="final abstract"/>
      <sheetName val="BLK2"/>
      <sheetName val="BLK3"/>
      <sheetName val="E &amp; R"/>
      <sheetName val="radar"/>
      <sheetName val="UG"/>
      <sheetName val="ABSTRACT"/>
      <sheetName val="DETAILED  BOQ"/>
      <sheetName val="M-Book for Conc"/>
      <sheetName val="M-Book for FW"/>
      <sheetName val="Vehicles"/>
      <sheetName val="Detail"/>
      <sheetName val="p&amp;m"/>
      <sheetName val="Wall"/>
      <sheetName val="sal"/>
      <sheetName val="Softscape Buildup"/>
      <sheetName val="Mat'l Rate"/>
      <sheetName val="CERTIFICATE"/>
      <sheetName val="마산월령동골조물량변경"/>
      <sheetName val="Rate_Analysis"/>
      <sheetName val="DATAS"/>
      <sheetName val="PROJECT BRIEF"/>
      <sheetName val="C (3)"/>
      <sheetName val="공종별_집계금액"/>
      <sheetName val="Customize_Your_Invoice"/>
      <sheetName val="HVAC_BoQ"/>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Dubai golf"/>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WITHOUT C&amp;I PROFIT (3)"/>
      <sheetName val="Geneí¬_x0008_i"/>
      <sheetName val="70"/>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MOS"/>
      <sheetName val="Ra  stair"/>
      <sheetName val="CHART OF ACCOUNTS"/>
      <sheetName val="E-Bill No.6 A-O"/>
      <sheetName val="BILL COV"/>
      <sheetName val="Day work"/>
      <sheetName val="Activity List"/>
      <sheetName val="Eq. Mobilization"/>
      <sheetName val="PointNo.5"/>
      <sheetName val="11-hsd"/>
      <sheetName val="13-septic"/>
      <sheetName val="7-ug"/>
      <sheetName val="2-utility"/>
      <sheetName val="18-misc"/>
      <sheetName val="5-pipe"/>
      <sheetName val="GFA_HQ_Building6"/>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250mm"/>
      <sheetName val="200mm"/>
      <sheetName val="160mm"/>
      <sheetName val="FITTINGS"/>
      <sheetName val="VALVE CHAMBERS"/>
      <sheetName val="Fire Hydrants"/>
      <sheetName val="B.GATE VALVE"/>
      <sheetName val="Sub G1 Fire"/>
      <sheetName val="Sub G12 Fire"/>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GFA_HQ_Building7"/>
      <sheetName val="Rate_analysis4"/>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Toolbox"/>
      <sheetName val="Material List "/>
      <sheetName val="INSTR"/>
      <sheetName val="ConferenceCentre?옰ʒ䄂ʒ鵠ʐ䄂ʒ閐̐䄂ʒ蕈̐"/>
      <sheetName val="갑지"/>
      <sheetName val="15-MECH"/>
      <sheetName val="VALVE_CHAMBERS"/>
      <sheetName val="Fire_Hydrants"/>
      <sheetName val="B_GATE_VALVE"/>
      <sheetName val="Sub_G1_Fire"/>
      <sheetName val="Sub_G12_Fire"/>
      <sheetName val="DETAILED__BOQ1"/>
      <sheetName val="M-Book_for_Conc1"/>
      <sheetName val="M-Book_for_FW1"/>
      <sheetName val="Ra__stair"/>
      <sheetName val="HIRED_LABOUR_CODE1"/>
      <sheetName val="PA-_Consutant_1"/>
      <sheetName val="foot-slab_reinft1"/>
      <sheetName val="BILL_COV"/>
      <sheetName val="GFA_Conference8"/>
      <sheetName val="BQ_External8"/>
      <sheetName val="StattCo_yCharges7"/>
      <sheetName val="Graph_Data_(DO_NOT_PRINT)7"/>
      <sheetName val="Penthouse_Apartment7"/>
      <sheetName val="Chiet_tinh_dz227"/>
      <sheetName val="Chiet_tinh_dz357"/>
      <sheetName val="Raw_Data7"/>
      <sheetName val="LABOUR_HISTOGRAM8"/>
      <sheetName val="@risk_rents_and_incentives7"/>
      <sheetName val="Car_park_lease7"/>
      <sheetName val="Net_rent_analysis7"/>
      <sheetName val="Poz-1_7"/>
      <sheetName val="Lab_Cum_Hist7"/>
      <sheetName val="CT_Thang_Mo7"/>
      <sheetName val="budget_summary_(2)6"/>
      <sheetName val="Budget_Analysis_Summary6"/>
      <sheetName val="Tender_Summary7"/>
      <sheetName val="Insurance_Ext7"/>
      <sheetName val="Customize_Your_Invoice7"/>
      <sheetName val="HVAC_BoQ7"/>
      <sheetName val="Bill_No__27"/>
      <sheetName val="Projet,_methodes_&amp;_couts6"/>
      <sheetName val="Risques_majeurs_&amp;_Frais_Ind_6"/>
      <sheetName val="LEVEL_SHEET7"/>
      <sheetName val="SPT_vs_PHI7"/>
      <sheetName val="CT__PL6"/>
      <sheetName val="FOL_-_Bar7"/>
      <sheetName val="intr_stool_brkup6"/>
      <sheetName val="Top_sheet6"/>
      <sheetName val="Body_Sheet6"/>
      <sheetName val="1_0_Executive_Summary6"/>
      <sheetName val="Bill_14"/>
      <sheetName val="Bill_25"/>
      <sheetName val="Bill_34"/>
      <sheetName val="Bill_44"/>
      <sheetName val="Bill_54"/>
      <sheetName val="Bill_64"/>
      <sheetName val="Bill_74"/>
      <sheetName val="2_Div_14_4"/>
      <sheetName val="Ap_A4"/>
      <sheetName val="SHOPLIST_xls3"/>
      <sheetName val="Dubai_golf3"/>
      <sheetName val="beam-reinft-IIInd_floor3"/>
      <sheetName val="beam-reinft-machine_rm3"/>
      <sheetName val="POWER_ASSUMPTIONS3"/>
      <sheetName val="Invoice_Summary3"/>
      <sheetName val="PROJECT_BRIEF4"/>
      <sheetName val="C_(3)4"/>
      <sheetName val="Civil_Boq2"/>
      <sheetName val="Activity_List2"/>
      <sheetName val="WITHOUT_C&amp;I_PROFIT_(3)2"/>
      <sheetName val="VALVE_CHAMBERS1"/>
      <sheetName val="Fire_Hydrants1"/>
      <sheetName val="B_GATE_VALVE1"/>
      <sheetName val="Sub_G1_Fire1"/>
      <sheetName val="Sub_G12_Fire1"/>
      <sheetName val="DETAILED__BOQ2"/>
      <sheetName val="M-Book_for_Conc2"/>
      <sheetName val="M-Book_for_FW2"/>
      <sheetName val="Ra__stair1"/>
      <sheetName val="HIRED_LABOUR_CODE2"/>
      <sheetName val="PA-_Consutant_2"/>
      <sheetName val="foot-slab_reinft2"/>
      <sheetName val="BILL_COV1"/>
      <sheetName val="Working for RCC"/>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GFA_HQ_Building9"/>
      <sheetName val="Rate_analysis6"/>
      <sheetName val="Day_work"/>
      <sheetName val="Softscape_Buildup2"/>
      <sheetName val="Mat'l_Rate2"/>
      <sheetName val="B03"/>
      <sheetName val="B09.1"/>
      <sheetName val="BS"/>
      <sheetName val="Data_Summary"/>
      <sheetName val="PMWeb data"/>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ra¦_x0004_)_x0000__x0000__x0000_VW_x0000__x0000__x0000__x0000__x0000__x0000__x0000__x0000__x0000_ U"/>
      <sheetName val="/VW_x0000_VU_x0000_)_x0000__x0000__x0000_)_x0000__x0000__x0000__x0001__x0000__x0000__x0000_tÏØ0_x0009__x0008__x0000__x0000__x0009__x0008_"/>
      <sheetName val="COLUMN"/>
      <sheetName val="Dropdown"/>
      <sheetName val="Elemental Buildup"/>
      <sheetName val="w't table"/>
      <sheetName val="cp-e1"/>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房屋及建筑物"/>
      <sheetName val="XL4Poppy"/>
      <sheetName val="SStaff-Sept2013"/>
      <sheetName val="Index List"/>
      <sheetName val="Type List"/>
      <sheetName val="File Types"/>
      <sheetName val="Day_work1"/>
      <sheetName val="SIEMENS"/>
      <sheetName val="ConferenceCentre_x005f_x0000_옰ʒ䄂ʒ鵠ʐ䄂ʒ"/>
      <sheetName val="Geneí¬_x005f_x0008_i_x005f_x0000__x005f_x0000__x0"/>
      <sheetName val="70_x005f_x0000_,_0_x005f_x0000_s«_x005f_x0008_i_x"/>
      <sheetName val="Geneí¬_x005f_x0008_i"/>
      <sheetName val="/VW_x0000_VU_x0000_)_x0000__x0000__x0000_)_x0000__x0000__x0000__x0001__x0000__x0000__x0000_tÏØ0 _x0008__x0000__x0000_ _x0008_"/>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2.2)Revised Cash Flow"/>
      <sheetName val="Gra¦_x0004_)"/>
      <sheetName val="/VW"/>
      <sheetName val="PMWeb_data"/>
      <sheetName val="SS_MH"/>
      <sheetName val="SS MH"/>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Prices"/>
      <sheetName val="Rate summary"/>
      <sheetName val="#REF!"/>
      <sheetName val="SW-TEO"/>
      <sheetName val="科目余额表正式"/>
      <sheetName val="Chiet t"/>
      <sheetName val="Staffing and Rates IA"/>
      <sheetName val="escalation"/>
      <sheetName val="ANAL"/>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w't_table"/>
      <sheetName val="Elemental_Buildup"/>
      <sheetName val="Employee List"/>
      <sheetName val="Lists"/>
      <sheetName val="입찰내역 발주처 양식"/>
      <sheetName val="LIST DO NOT REMOVE"/>
      <sheetName val="Quantity"/>
      <sheetName val="??-BLDG"/>
      <sheetName val="PNT-QUOT-#3"/>
      <sheetName val="COAT&amp;WRAP-QIOT-#3"/>
      <sheetName val="ml"/>
      <sheetName val="2_2)Revised_Cash_Flow"/>
      <sheetName val="[SHOPLIST.xls][SHOPLIST.xls]70_x0000_"/>
      <sheetName val="[SHOPLIST.xls][SHOPLIST.xls]70,"/>
      <sheetName val="[SHOPLIST.xls]70_x0000_,/0_x0000_s«_x0008_i_x0000_Æø_x0003_í¬"/>
      <sheetName val="BULD.3"/>
      <sheetName val="BLOCK K"/>
      <sheetName val="[SHOPLIST.xls]70,/0s«iÆøí¬i"/>
      <sheetName val="Summary of Work"/>
      <sheetName val="Earthwork"/>
      <sheetName val="GIAVLIEU"/>
      <sheetName val="Project Cost Breakdown"/>
      <sheetName val="GRSummary"/>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Day_work2"/>
      <sheetName val="Gra¦)VW_U"/>
      <sheetName val="/VWVU))tÏØ0  "/>
      <sheetName val="/VWVU))tÏØ0__"/>
      <sheetName val="Demand"/>
      <sheetName val="Occ"/>
      <sheetName val="Old"/>
      <sheetName val="_x005f_x0000__x005f_x0000__x005f_x0000__x005f_x0000__x0"/>
      <sheetName val="Staff Acco."/>
      <sheetName val="TBAL9697 -group wise  sdpl"/>
      <sheetName val="GFA_HQ_Building12"/>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Рабочий лист"/>
      <sheetName val="ФМ"/>
      <sheetName val="Сравнение"/>
      <sheetName val="Table"/>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Elemental_Buildup1"/>
      <sheetName val="PointNo_51"/>
      <sheetName val="B6_2_"/>
      <sheetName val="LIST_DO_NOT_REMOVE"/>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PLT-SUM"/>
      <sheetName val="%"/>
      <sheetName val="PRJDATA"/>
      <sheetName val="Master"/>
      <sheetName val="BASE_APR17_HISTOGRAMS"/>
      <sheetName val="合成単価作成表-BLDG"/>
      <sheetName val="Labour &amp; Plant"/>
      <sheetName val="PRECAST_lightconc-II"/>
      <sheetName val="final_abstract"/>
      <sheetName val="E_&amp;_R"/>
      <sheetName val="INDIGINEOUS ITEMS "/>
      <sheetName val="SITE WORK"/>
      <sheetName val="XV10017"/>
      <sheetName val="Annex 1 Sect 3a"/>
      <sheetName val="Annex 1 Sect 3a.1"/>
      <sheetName val="Annex 1 Sect 3b"/>
      <sheetName val="Annex 1 Sect 3c"/>
      <sheetName val="HOURLY RATES"/>
      <sheetName val="Sub_G1_Five"/>
      <sheetName val="Back up"/>
      <sheetName val="PT 141- Site A Landscape"/>
      <sheetName val="Definitions"/>
      <sheetName val="MA"/>
      <sheetName val="Rebars"/>
      <sheetName val="Mall waterproofing"/>
      <sheetName val="MSCP waterproofing"/>
      <sheetName val="-----------------"/>
      <sheetName val="train cash"/>
      <sheetName val="accom cash"/>
      <sheetName val="ConferenceCentre_x0000_옰ʒ䄂ʒ鵠ʐ䄂ʒ"/>
      <sheetName val="Geneí¬_x0008_i_x0000__x0000__x0"/>
      <sheetName val="70_x0000_,_0_x0000_s«_x0008_i_x"/>
      <sheetName val="_x0000__x0000__x0000__x0000__x0"/>
      <sheetName val="office"/>
      <sheetName val="Lab"/>
      <sheetName val="Duct Accesories"/>
      <sheetName val="BG"/>
      <sheetName val="RAB AR&amp;STR"/>
      <sheetName val="70_x005f_x0000_,/0_x005f_x0000_s«_x005f_x0008_i_x"/>
      <sheetName val="Summary_of_Work"/>
      <sheetName val="Employee_List"/>
      <sheetName val="Geneí¬ i_x0000__x0000_ _x0000_0."/>
      <sheetName val="70_x0000_,/0_x0000_s« i_x0000_Æø í¬ i_x0000_"/>
      <sheetName val="???? ??? ??"/>
      <sheetName val="200205C"/>
      <sheetName val="Headings"/>
      <sheetName val="70,_0s«iÆøí¬i"/>
      <sheetName val="ConferenceCentre_옰ʒ䄂ʒ鵠ʐ䄂ʒ閐̐䄂ʒ蕈̐"/>
      <sheetName val="UOM"/>
      <sheetName val="Common Variables"/>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공문"/>
      <sheetName val="material"/>
      <sheetName val="Labour Rates"/>
      <sheetName val="machinery"/>
      <sheetName val="Geneí¬_x0008_i??_x0014_?0."/>
      <sheetName val="70?,/0?s«_x0008_i?Æø_x0003_í¬_x0008_i?"/>
      <sheetName val="????????"/>
      <sheetName val="Geneí¬_x0008_i___x0014__0."/>
      <sheetName val="70_,_0_s«_x0008_i_Æø_x0003_í¬_x0008_i_"/>
      <sheetName val="________"/>
      <sheetName val="Form 6"/>
      <sheetName val="Rate_analysis10"/>
      <sheetName val="Staff_Acco_"/>
      <sheetName val="TBAL9697_-group_wise__sdpl"/>
      <sheetName val="References"/>
      <sheetName val="GPL Revenu Update"/>
      <sheetName val="DO NOT TOUCH"/>
      <sheetName val="Work Type"/>
      <sheetName val="MEP"/>
      <sheetName val="IRR"/>
      <sheetName val="COSTING"/>
      <sheetName val="Map"/>
      <sheetName val="Lookup"/>
      <sheetName val="ConferenceCentre?옰ʒ䄂ʒ鵠ʐ䄂ʒ閐̐脭め_x0005__x0000_"/>
      <sheetName val="Sheet7"/>
      <sheetName val="LIST_DO_NOT_REMOVE1"/>
      <sheetName val="Project_Cost_Breakdown"/>
      <sheetName val="B6_2_1"/>
      <sheetName val="Annex_1_Sect_3a"/>
      <sheetName val="Annex_1_Sect_3a_1"/>
      <sheetName val="Annex_1_Sect_3b"/>
      <sheetName val="Annex_1_Sect_3c"/>
      <sheetName val="HOURLY_RATES"/>
      <sheetName val="Item-_Compact"/>
      <sheetName val="TESİSAT"/>
      <sheetName val="PE"/>
      <sheetName val="VALVE_CHAMBERS5"/>
      <sheetName val="Fire_Hydrants5"/>
      <sheetName val="B_GATE_VALVE5"/>
      <sheetName val="Sub_G1_Fire5"/>
      <sheetName val="Sub_G12_Fire5"/>
      <sheetName val="DETAILED__BOQ6"/>
      <sheetName val="M-Book_for_Conc6"/>
      <sheetName val="M-Book_for_FW6"/>
      <sheetName val="PA-_Consutant_6"/>
      <sheetName val="HIRED_LABOUR_CODE6"/>
      <sheetName val="foot-slab_reinft6"/>
      <sheetName val="Materials_Cost(PCC)4"/>
      <sheetName val="India_F&amp;S_Template4"/>
      <sheetName val="IO_LIST4"/>
      <sheetName val="Material_4"/>
      <sheetName val="Quote_Sheet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t_table3"/>
      <sheetName val="Elemental_Buildup3"/>
      <sheetName val="PointNo_53"/>
      <sheetName val="LIST_DO_NOT_REMOVE2"/>
      <sheetName val="Summary_of_Work1"/>
      <sheetName val="Employee_List1"/>
      <sheetName val="B6_2_2"/>
      <sheetName val="Staff_Acco_1"/>
      <sheetName val="TBAL9697_-group_wise__sdpl1"/>
      <sheetName val="Item-_Compact1"/>
      <sheetName val="E_&amp;_R1"/>
      <sheetName val="Project_Cost_Breakdown1"/>
      <sheetName val="Рабочий_лист"/>
      <sheetName val="Annex_1_Sect_3a1"/>
      <sheetName val="Annex_1_Sect_3a_11"/>
      <sheetName val="Annex_1_Sect_3b1"/>
      <sheetName val="Annex_1_Sect_3c1"/>
      <sheetName val="HOURLY_RATES1"/>
      <sheetName val="RAB_AR&amp;STR"/>
      <sheetName val="SITE_WORK"/>
      <sheetName val="Rate_summary"/>
      <sheetName val="PTS-1"/>
      <sheetName val="analysis"/>
      <sheetName val="Geneí¬ i"/>
      <sheetName val="Ave.wtd.rates"/>
      <sheetName val="Debits as on 12.04.08"/>
      <sheetName val="PRECAST_lightconc-II3"/>
      <sheetName val="final_abstract3"/>
      <sheetName val="PRECAST_lightconc-II4"/>
      <sheetName val="BOQ_Direct_selling_cost4"/>
      <sheetName val="final_abstract4"/>
      <sheetName val="ABS"/>
      <sheetName val="STAFFSCHED "/>
      <sheetName val="Progress"/>
      <sheetName val="R20_R30_work"/>
      <sheetName val="FORM7"/>
      <sheetName val="TRIAL BALANCE"/>
      <sheetName val="Intro"/>
      <sheetName val="Bill-1"/>
      <sheetName val="abs-boq"/>
      <sheetName val="New Rates"/>
      <sheetName val="IRR_CHAMBER"/>
      <sheetName val="steel total"/>
      <sheetName val="ELE BOQ"/>
      <sheetName val="70,"/>
      <sheetName val="ConferenceCentre?옰ʒ䄂ʒ鵠ʐ䄂ʒ閐̐脭め_x0005_"/>
      <sheetName val="[SHOPLIST.xls]70"/>
      <sheetName val="[SHOPLIST.xls]70,"/>
      <sheetName val="Risk Breakdown Structure"/>
      <sheetName val="Bill-1A"/>
      <sheetName val="Bill-1B"/>
      <sheetName val="Bill 6-1"/>
      <sheetName val="Bill 7-1"/>
      <sheetName val="Bill 8 (1)"/>
      <sheetName val="9oo dia"/>
      <sheetName val="12oo dia"/>
      <sheetName val="Break down for OH"/>
      <sheetName val="Bill-9-1"/>
      <sheetName val="Bill-9-2"/>
      <sheetName val="Bill-9-3"/>
      <sheetName val="4.1 G Ammount"/>
      <sheetName val="N"/>
      <sheetName val="E"/>
      <sheetName val="Base BM-rebar"/>
      <sheetName val="P-Ins &amp; Bonds"/>
      <sheetName val="BREAKDOWN"/>
      <sheetName val="_SHOPLIST.xls__SHOPLIST.xls_70"/>
      <sheetName val="_SHOPLIST.xls_70"/>
      <sheetName val="วัดใต้"/>
      <sheetName val="B-2"/>
      <sheetName val="[SHOPLIST_xls][SHOPLIST_xls]70"/>
      <sheetName val="[SHOPLIST_xls][SHOPLIST_xls]70,"/>
      <sheetName val="[SHOPLIST_xls]70,/0s«iÆøí¬"/>
      <sheetName val="[SHOPLIST_xls]70,/0s«iÆøí¬i"/>
      <sheetName val="d-safe_DELUXE"/>
      <sheetName val="[SHOPLIST.xls][SHOPLIST.xls]70"/>
      <sheetName val="[SHOPLIST.xls]/VW"/>
      <sheetName val="[SHOPLIST.xls]70___0_s__i_____2"/>
      <sheetName val="C-7-9-1-J (ESU 1,2,3,4)"/>
      <sheetName val="Bill No.1"/>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Header"/>
      <sheetName val="Z- GENERAL PRICE SUMMARY"/>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BILL_COV6"/>
      <sheetName val="Ra__stair6"/>
      <sheetName val="WITHOUT_C&amp;I_PROFIT_(3)8"/>
      <sheetName val="Civil_Boq8"/>
      <sheetName val="Activity_List8"/>
      <sheetName val="B185-B-9_14"/>
      <sheetName val="B185-B-9_24"/>
      <sheetName val="Day_work5"/>
      <sheetName val="Working_for_RCC4"/>
      <sheetName val="CHART_OF_ACCOUNTS4"/>
      <sheetName val="E-Bill_No_6_A-O4"/>
      <sheetName val="PMWeb_data4"/>
      <sheetName val="SS_MH4"/>
      <sheetName val="Eq__Mobilization4"/>
      <sheetName val="B09_14"/>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입찰내역_발주처_양식3"/>
      <sheetName val="Chiet_t3"/>
      <sheetName val="Staffing_and_Rates_IA3"/>
      <sheetName val="/VWVU))tÏØ0__3"/>
      <sheetName val="PT_141-_Site_A_Landscape"/>
      <sheetName val="Geneí¬_i_0_"/>
      <sheetName val="70,/0s«_iÆø_í¬_i"/>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Source"/>
      <sheetName val="FORM5"/>
      <sheetName val="calculation_LC"/>
      <sheetName val="Internet"/>
      <sheetName val="Coding"/>
      <sheetName val="Cashflow projection"/>
      <sheetName val="PPA Summary"/>
      <sheetName val="superseded"/>
      <sheetName val="INDEX"/>
      <sheetName val="PROJECT BRIEF(EX.NEW)"/>
      <sheetName val="Confidential"/>
      <sheetName val="[SHOPLIST.xls]70_x0000_,/0_x0000_s« i_x0000_Æø í¬"/>
      <sheetName val="Selections"/>
      <sheetName val="AREA OF APPLICATION"/>
      <sheetName val="Steel"/>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1-G1"/>
      <sheetName val="Auswahl"/>
      <sheetName val="Areas_with_SF"/>
      <sheetName val="Area Breakdown PER LEVEL_LINK"/>
      <sheetName val="opstat"/>
      <sheetName val="costs"/>
      <sheetName val="Lagerhalle"/>
      <sheetName val="Basisdaten"/>
      <sheetName val="CF Input"/>
      <sheetName val="Certificates"/>
      <sheetName val="DATA INPUT"/>
      <sheetName val="Vordruck-Nr. 7.1.3_D"/>
      <sheetName val="Ersatzteile"/>
      <sheetName val="A"/>
      <sheetName val="C"/>
      <sheetName val="D"/>
      <sheetName val="G"/>
      <sheetName val="H"/>
      <sheetName val="I"/>
      <sheetName val="K"/>
      <sheetName val="L"/>
      <sheetName val="M"/>
      <sheetName val="O"/>
      <sheetName val="T"/>
      <sheetName val="U"/>
      <sheetName val="M&amp;A D"/>
      <sheetName val="M&amp;A E"/>
      <sheetName val="M&amp;A G"/>
      <sheetName val="Summ"/>
      <sheetName val="Floor Box "/>
      <sheetName val="SRC-B3U2"/>
      <sheetName val="Projects"/>
      <sheetName val="CostPlan"/>
      <sheetName val="Database"/>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Interior"/>
      <sheetName val="PRJ_DATA"/>
      <sheetName val="ￒlￒmￒnￒaￒSￒmￒaￒy"/>
      <sheetName val="금융비용"/>
      <sheetName val="Equip"/>
      <sheetName val="Vendors"/>
      <sheetName val="Rates"/>
      <sheetName val="dv_info"/>
      <sheetName val="instructions"/>
      <sheetName val="1.2 Staff Schedule"/>
      <sheetName val="B-3.2 EB"/>
      <sheetName val="Ragama"/>
      <sheetName val="Total PrC-Goldi"/>
      <sheetName val="[SHOPLIST.xls]/VWVU))tÏØ0  "/>
      <sheetName val="[SHOPLIST.xls]/VWVU))tÏØ0__"/>
      <sheetName val="anti-termite"/>
      <sheetName val="slipsumpR"/>
      <sheetName val="BOQ_Direct_selling_cost5"/>
      <sheetName val="DETAILED__BOQ7"/>
      <sheetName val="M-Book_for_Conc7"/>
      <sheetName val="M-Book_for_FW7"/>
      <sheetName val="PointNo_54"/>
      <sheetName val="PA-_Consutant_7"/>
      <sheetName val="HIRED_LABOUR_CODE7"/>
      <sheetName val="foot-slab_reinft7"/>
      <sheetName val="IO_LIST5"/>
      <sheetName val="Material_5"/>
      <sheetName val="Quote_Sheet5"/>
      <sheetName val="Materials_Cost(PCC)5"/>
      <sheetName val="India_F&amp;S_Template5"/>
      <sheetName val="Item-_Compact2"/>
      <sheetName val="PRECAST_lightconc-II5"/>
      <sheetName val="final_abstract5"/>
      <sheetName val="E_&amp;_R2"/>
      <sheetName val="VALVE_CHAMBERS6"/>
      <sheetName val="Fire_Hydrants6"/>
      <sheetName val="B_GATE_VALVE6"/>
      <sheetName val="Sub_G1_Fire6"/>
      <sheetName val="Sub_G12_Fire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Elemental_Buildup4"/>
      <sheetName val="w't_table4"/>
      <sheetName val="Summary_of_Work2"/>
      <sheetName val="LIST_DO_NOT_REMOVE3"/>
      <sheetName val="Project_Cost_Breakdown2"/>
      <sheetName val="B6_2_3"/>
      <sheetName val="SITE_WORK1"/>
      <sheetName val="Employee_List2"/>
      <sheetName val="Staff_Acco_2"/>
      <sheetName val="TBAL9697_-group_wise__sdpl2"/>
      <sheetName val="Рабочий_лист1"/>
      <sheetName val="Annex_1_Sect_3a2"/>
      <sheetName val="Annex_1_Sect_3a_12"/>
      <sheetName val="Annex_1_Sect_3b2"/>
      <sheetName val="Annex_1_Sect_3c2"/>
      <sheetName val="HOURLY_RATES2"/>
      <sheetName val="Rate_summary1"/>
      <sheetName val="B-3_2_EB"/>
      <sheetName val="Total_PrC-Goldi"/>
      <sheetName val="RAB_AR&amp;STR1"/>
      <sheetName val="Common_Variables"/>
      <sheetName val="Geneí¬i___0_"/>
      <sheetName val="70_,_0_s«i_Æøí¬i_"/>
      <sheetName val="GPL_Revenu_Update"/>
      <sheetName val="DO_NOT_TOUCH"/>
      <sheetName val="Work_Type"/>
      <sheetName val="ConferenceCentre?옰ʒ䄂ʒ鵠ʐ䄂ʒ閐̐脭め"/>
      <sheetName val="Risk_Breakdown_Structure"/>
      <sheetName val="[SHOPLIST_xls]/VW"/>
      <sheetName val="[SHOPLIST_xls]/VWVU))tÏØ0__"/>
      <sheetName val="[SHOPLIST_xls]/VWVU))tÏØ0__1"/>
      <sheetName val="Labour_&amp;_Plant"/>
      <sheetName val="Z-_GENERAL_PRICE_SUMMARY"/>
      <sheetName val="Labour_Rates"/>
      <sheetName val="Form_6"/>
      <sheetName val="Geneí¬_i"/>
      <sheetName val="Ave_wtd_rates"/>
      <sheetName val="Debits_as_on_12_04_08"/>
      <sheetName val="STAFFSCHED_"/>
      <sheetName val="TRIAL_BALANCE"/>
      <sheetName val="New_Rates"/>
      <sheetName val="steel_total"/>
      <sheetName val="ELE_BOQ"/>
      <sheetName val="[SHOPLIST_xls]70"/>
      <sheetName val="[SHOPLIST_xls]70,"/>
      <sheetName val="Cost Factor Sheet"/>
      <sheetName val="Load Sch, Cable Sel &amp; Qty"/>
      <sheetName val="Factor Sheet"/>
      <sheetName val="Price Sheet"/>
      <sheetName val="Resumo Empreitadas"/>
      <sheetName val="Price List"/>
      <sheetName val="SEX"/>
      <sheetName val="PLUMBING WORK ADDITIONS"/>
      <sheetName val="B-3"/>
      <sheetName val="total"/>
      <sheetName val="ACC"/>
      <sheetName val="Payment"/>
      <sheetName val="Input"/>
      <sheetName val="Architect"/>
      <sheetName val="[SHOPLIST.xls][SHOPLIST.xls][SH"/>
      <sheetName val="[SHOPLIST.xls][SHOPLIST.xls]70_"/>
      <sheetName val="SubS2"/>
      <sheetName val="LMP"/>
      <sheetName val="E H - H. W.P."/>
      <sheetName val="E. H. Treatment for pile cap"/>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AC"/>
      <sheetName val="PC"/>
      <sheetName val="PRL"/>
      <sheetName val="Equipment Rates"/>
      <sheetName val="Materials "/>
      <sheetName val="Labour"/>
      <sheetName val="MAchinery(R1)"/>
      <sheetName val="Mix Design"/>
      <sheetName val="std-rates"/>
      <sheetName val="[SHOPLIST.xls]/VW_x0000_VU_x0000_)_x0000__x0000__x0000_)_x0000__x0000__x0000_"/>
      <sheetName val="SO"/>
      <sheetName val="Final"/>
      <sheetName val="Home"/>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BILL_COV7"/>
      <sheetName val="Ra__stair7"/>
      <sheetName val="WITHOUT_C&amp;I_PROFIT_(3)9"/>
      <sheetName val="Civil_Boq9"/>
      <sheetName val="Activity_List9"/>
      <sheetName val="B185-B-9_15"/>
      <sheetName val="B185-B-9_25"/>
      <sheetName val="Day_work6"/>
      <sheetName val="Working_for_RCC5"/>
      <sheetName val="CHART_OF_ACCOUNTS5"/>
      <sheetName val="E-Bill_No_6_A-O5"/>
      <sheetName val="PMWeb_data5"/>
      <sheetName val="SS_MH5"/>
      <sheetName val="Eq__Mobilization5"/>
      <sheetName val="B09_15"/>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입찰내역_발주처_양식4"/>
      <sheetName val="Chiet_t4"/>
      <sheetName val="Staffing_and_Rates_IA4"/>
      <sheetName val="/VWVU))tÏØ0__4"/>
      <sheetName val="PT_141-_Site_A_Landscape1"/>
      <sheetName val="d-safe_DELUXE1"/>
      <sheetName val="Back_up1"/>
      <sheetName val="INDIGINEOUS_ITEMS_1"/>
      <sheetName val="Mall_waterproofing1"/>
      <sheetName val="MSCP_waterproofing1"/>
      <sheetName val="Duct_Accesories1"/>
      <sheetName val="????_???_??1"/>
      <sheetName val="train_cash1"/>
      <sheetName val="accom_cash1"/>
      <sheetName val="C1ㅇ"/>
      <sheetName val="Service Type"/>
      <sheetName val="Contract Division"/>
      <sheetName val="SubContract Type"/>
      <sheetName val="做法表"/>
      <sheetName val="_SHOPLIST.xls_70,_0s«iÆøí¬i"/>
      <sheetName val="PROJECT_BRIEF(EX_NEW)"/>
      <sheetName val="PNTEXT"/>
      <sheetName val="Materials_Cost(PCC)6"/>
      <sheetName val="India_F&amp;S_Template6"/>
      <sheetName val="IO_LIST6"/>
      <sheetName val="Material_6"/>
      <sheetName val="Quote_Sheet6"/>
      <sheetName val="BOQ_Direct_selling_cost6"/>
      <sheetName val="PRECAST_lightconc-II6"/>
      <sheetName val="final_abstract6"/>
      <sheetName val="Labour_&amp;_Plant1"/>
      <sheetName val="[SHOPLIST_xls][SHOPLIST_xls]701"/>
      <sheetName val="TRIAL_BALANCE1"/>
      <sheetName val="Ave_wtd_rates1"/>
      <sheetName val="Debits_as_on_12_04_081"/>
      <sheetName val="STAFFSCHED_1"/>
      <sheetName val="Risk_Breakdown_Structure1"/>
      <sheetName val="Gra¦)_x0"/>
      <sheetName val="_VWVU)_x"/>
      <sheetName val="Equipment_Rates"/>
      <sheetName val="A1-Continuous"/>
      <sheetName val="Food"/>
      <sheetName val="[SHOPLIST.xls]/VWVU))tÏØ0__1"/>
      <sheetName val="[SHOPLIST.xls]/VWVU))tÏØ0__2"/>
      <sheetName val="Common_Variables1"/>
      <sheetName val="[SHOPLIST_xls]70,/0s«iÆøí¬i1"/>
      <sheetName val="GPL_Revenu_Update1"/>
      <sheetName val="DO_NOT_TOUCH1"/>
      <sheetName val="Work_Type1"/>
      <sheetName val="PROJECT_BRIEF(EX_NEW)1"/>
      <sheetName val="[SHOPLIST_xls]70,/0s«_iÆø_í¬"/>
      <sheetName val="AREA_OF_APPLICATION"/>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Geneí¬_i1"/>
      <sheetName val="steel_total1"/>
      <sheetName val="ELE_BOQ1"/>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BaseWeight"/>
      <sheetName val="VIABILITY"/>
      <sheetName val="Rate_analysis11"/>
      <sheetName val="Attach 4-18"/>
      <sheetName val="TTL"/>
      <sheetName val="Data I (2)"/>
      <sheetName val="rEFERENCES "/>
      <sheetName val="DIV2"/>
      <sheetName val="DIV3"/>
      <sheetName val="DIV4"/>
      <sheetName val="DIV7"/>
      <sheetName val="DIV9"/>
      <sheetName val="KAP-2_C1_ALBAHA_GRID_POINT_NGL"/>
      <sheetName val="Flight-1"/>
      <sheetName val="Project"/>
      <sheetName val="PRICE INFO"/>
      <sheetName val="RC SUMMARY"/>
      <sheetName val="LABOUR PRODUCTIVITY-TAV"/>
      <sheetName val="MATERIAL PRICES"/>
      <sheetName val="Floor_Box_"/>
      <sheetName val="Floor_Box_1"/>
      <sheetName val="Base_Data"/>
      <sheetName val="P-100.MRF.DB.R1"/>
      <sheetName val="RMOPS"/>
      <sheetName val="[SHOPLIST_xls][SHOPLIST_xls]70_"/>
      <sheetName val="E_H_-_H__W_P_"/>
      <sheetName val="E__H__Treatment_for_pile_cap"/>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Dropdowns"/>
      <sheetName val="1_2_Staff_Schedule"/>
      <sheetName val="Data Sheet"/>
      <sheetName val="allowances"/>
      <sheetName val="tender allowances"/>
      <sheetName val=" Summary BKG 034"/>
      <sheetName val="BILL 3R"/>
      <sheetName val="door"/>
      <sheetName val="window"/>
      <sheetName val="BLOCK-A (MEA.SHEET)"/>
      <sheetName val="Bill.10"/>
      <sheetName val="CSC"/>
      <sheetName val="Material&amp;equipment"/>
      <sheetName val="Cost Heading"/>
      <sheetName val="Labour Costs"/>
      <sheetName val="sheet6"/>
      <sheetName val="Ewaan Show Kitchen (2)"/>
      <sheetName val="Cash Flow Working"/>
      <sheetName val="MN T.B."/>
      <sheetName val="COMPLEXALL"/>
      <sheetName val="D &amp; W sizes"/>
      <sheetName val="DetEst"/>
      <sheetName val="SOPMA DD"/>
      <sheetName val="Hic_150EOffice"/>
      <sheetName val="Results"/>
      <sheetName val="Site Dev BOQ"/>
      <sheetName val="Estimation"/>
      <sheetName val="May 05"/>
      <sheetName val="April 05"/>
      <sheetName val="Aug 05"/>
      <sheetName val="July 05"/>
      <sheetName val="June 05"/>
      <sheetName val="Nov 05"/>
      <sheetName val="Oct 05"/>
      <sheetName val="Sep 05"/>
      <sheetName val="[SHOPLIST.xls]/VWVU))tÏØ0__3"/>
      <sheetName val="[SHOPLIST.xls]70,/0s«_iÆø_í¬_i"/>
      <sheetName val="[SHOPLIST.xls]70?,/0?s«i?Æøí¬i?"/>
      <sheetName val="precast RC element"/>
      <sheetName val="pile Fabrication"/>
      <sheetName val="New Bld"/>
      <sheetName val="BHANDUP"/>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_VWVU))tÏØ0__1"/>
      <sheetName val="Dash board"/>
      <sheetName val="基本ﾃﾞｰﾀ"/>
      <sheetName val="Schedules"/>
      <sheetName val="1A"/>
      <sheetName val="Room Type"/>
      <sheetName val="Basement2 DB"/>
      <sheetName val="WIP"/>
      <sheetName val="1-Summary"/>
      <sheetName val="Factor"/>
      <sheetName val="Qtys ZamZam (Del. before)"/>
      <sheetName val="Qtys Relocation (Del before)"/>
      <sheetName val=" Qtys Sub &amp; Tents (Del. before)"/>
      <sheetName val="Qtys  Signages (Del. before)"/>
      <sheetName val="Qtys Temporary Passages (Del)"/>
      <sheetName val=" Qtys Ser. Rooms (Del before)"/>
      <sheetName val="Config-C"/>
      <sheetName val="Service"/>
      <sheetName val="PB"/>
      <sheetName val="Z-_GENERAL_PRICE_SUMMARY1"/>
      <sheetName val="E_H_-_H__W_P_1"/>
      <sheetName val="E__H__Treatment_for_pile_cap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Cashflow_projection1"/>
      <sheetName val="Base_BM-rebar"/>
      <sheetName val="[SHOPLIST_xls][SHOPLIST_xls][SH"/>
      <sheetName val="[SHOPLIST_xls]/VWVU))"/>
      <sheetName val="Data_Sheet"/>
      <sheetName val="Z-_GENERAL_PRICE_SUMMARY2"/>
      <sheetName val="Floor_Box_2"/>
      <sheetName val="E_H_-_H__W_P_2"/>
      <sheetName val="E__H__Treatment_for_pile_cap2"/>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Cashflow_projection2"/>
      <sheetName val="Resumo_Empreitadas1"/>
      <sheetName val="PPA_Summary1"/>
      <sheetName val="Equipment_Rates1"/>
      <sheetName val="[SHOPLIST_xls]701"/>
      <sheetName val="[SHOPLIST_xls]70,1"/>
      <sheetName val="Base_BM-rebar1"/>
      <sheetName val="%_prog_figs_-u5_and_total1"/>
      <sheetName val="_VWVU))tÏØ0__2"/>
      <sheetName val="[SHOPLIST_xls][SHOPLIST_xls][S1"/>
      <sheetName val="Data_Sheet1"/>
      <sheetName val="[SHOPLIST_xls][SHOPLIST_xls]705"/>
      <sheetName val="Z-_GENERAL_PRICE_SUMMARY3"/>
      <sheetName val="Floor_Box_3"/>
      <sheetName val="[SHOPLIST_xls][SHOPLIST_xls]706"/>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Resumo_Empreitadas2"/>
      <sheetName val="PPA_Summary2"/>
      <sheetName val="Equipment_Rates2"/>
      <sheetName val="[SHOPLIST_xls]702"/>
      <sheetName val="[SHOPLIST_xls]70,2"/>
      <sheetName val="Base_BM-rebar2"/>
      <sheetName val="%_prog_figs_-u5_and_total2"/>
      <sheetName val="_VWVU))tÏØ0__3"/>
      <sheetName val="[SHOPLIST_xls][SHOPLIST_xls][S2"/>
      <sheetName val="Data_Sheet2"/>
      <sheetName val="Div.07 Thermal &amp; Moisture"/>
      <sheetName val="hist&amp;proj"/>
      <sheetName val="Appendix B"/>
      <sheetName val="BOQp4"/>
      <sheetName val="2F 회의실견적(5_14 일대)"/>
      <sheetName val=" HIT-&gt;HMC 견적(3900)"/>
      <sheetName val="DATI_CONS"/>
      <sheetName val="STAIR-A"/>
      <sheetName val="B1"/>
      <sheetName val="Finansal tamamlanma Eğrisi"/>
      <sheetName val="2 Plex"/>
      <sheetName val="Sheet1 (2)"/>
      <sheetName val="4 Plex"/>
      <sheetName val="6 Plex "/>
      <sheetName val="Detailed Summary"/>
      <sheetName val="Sheet1 (3)"/>
      <sheetName val="Sheet1 (4)"/>
      <sheetName val="Print"/>
      <sheetName val="70_x0000_,/0_x0000_s«_x0008_i_x"/>
      <sheetName val="11"/>
      <sheetName val="Sheet Index"/>
      <sheetName val="Trade Summary"/>
      <sheetName val="工程量"/>
      <sheetName val="[SHOPLIST.xls]/VWVU))tÏØ0__4"/>
      <sheetName val="BOQ (2)"/>
      <sheetName val="Names"/>
      <sheetName val="LABOUR RATE"/>
      <sheetName val="Material Rate"/>
      <sheetName val="Labor abs-PW"/>
      <sheetName val="Labor abs-NMR"/>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Package-2"/>
      <sheetName val="Combined Results "/>
      <sheetName val="Cashflow"/>
      <sheetName val="RA"/>
      <sheetName val="grid"/>
      <sheetName val="para"/>
      <sheetName val="kppl pl"/>
      <sheetName val="Basic Rates"/>
      <sheetName val="Report"/>
      <sheetName val="PROCTOR"/>
      <sheetName val="Status Summary"/>
      <sheetName val="LANGUAGE"/>
      <sheetName val="AREAS"/>
      <sheetName val="Labour Rate "/>
      <sheetName val="(M+L)"/>
      <sheetName val="Names&amp;Cases"/>
      <sheetName val="Tables"/>
      <sheetName val="Calculations"/>
      <sheetName val="GS"/>
      <sheetName val="1 - Main Building"/>
      <sheetName val="1 - Summary"/>
      <sheetName val="2 - Landscaping Works"/>
      <sheetName val="2 - Summary"/>
      <sheetName val="4 - Bldg Infra"/>
      <sheetName val="4 - Summary"/>
      <sheetName val="Materials_"/>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Data Validation"/>
      <sheetName val="TOSHIBA-Structure"/>
      <sheetName val="NKC6"/>
      <sheetName val="Div26 - Elect"/>
      <sheetName val="CHUNG CU CARRILON"/>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HB CEC schd 4.2"/>
      <sheetName val="HB CEC schd 4.3"/>
      <sheetName val="HB CEC schd 5.2"/>
      <sheetName val="HB CEC schd 6.2"/>
      <sheetName val="HB CEC schd 7.2"/>
      <sheetName val="HB CEC schd 9.2"/>
      <sheetName val="Doha Farm"/>
      <sheetName val="Dropdown List"/>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PROJECT_BRIEF(EX_NEW)5"/>
      <sheetName val="Risk_Breakdown_Structure4"/>
      <sheetName val="AREA_OF_APPLICATION4"/>
      <sheetName val="Geneí¬_i4"/>
      <sheetName val="steel_total4"/>
      <sheetName val="ELE_BOQ4"/>
      <sheetName val="Mix_Design1"/>
      <sheetName val="Site_Dev_BOQ"/>
      <sheetName val="Summary "/>
      <sheetName val="B04-A - DIA SUDEER"/>
      <sheetName val="04D - Tanmyat"/>
      <sheetName val="13- B04-B &amp; C"/>
      <sheetName val=" SITE 09 B04-B&amp;C-AFAQ"/>
      <sheetName val="Service_Type"/>
      <sheetName val="Contract_Division"/>
      <sheetName val="SubContract_Type"/>
      <sheetName val="_SHOPLIST_xls_70"/>
      <sheetName val="_SHOPLIST_xls_70,_0s«iÆøí¬i"/>
      <sheetName val="Rate_analysis14"/>
      <sheetName val="[SHOPLIST_xls]703"/>
      <sheetName val="[SHOPLIST_xls]70,3"/>
      <sheetName val="Base_BM-rebar3"/>
      <sheetName val="[SHOPLIST_xls]/VW3"/>
      <sheetName val="[SHOPLIST_xls]/VWVU))tÏØ0__6"/>
      <sheetName val="[SHOPLIST_xls]/VWVU))tÏØ0__7"/>
      <sheetName val="Resumo_Empreitadas3"/>
      <sheetName val="%_prog_figs_-u5_and_total3"/>
      <sheetName val="_VWVU))tÏØ0__4"/>
      <sheetName val="Service_Type3"/>
      <sheetName val="Contract_Division3"/>
      <sheetName val="SubContract_Type3"/>
      <sheetName val="_SHOPLIST_xls_703"/>
      <sheetName val="_SHOPLIST_xls_70,_0s«iÆøí¬i3"/>
      <sheetName val="PPA_Summary3"/>
      <sheetName val="Mix_Design3"/>
      <sheetName val="[SHOPLIST_xls][SHOPLIST_xls][S3"/>
      <sheetName val="Area_Breakdown_PER_LEVEL_LINK1"/>
      <sheetName val="CF_Input1"/>
      <sheetName val="DATA_INPUT1"/>
      <sheetName val="Vordruck-Nr__7_1_3_D1"/>
      <sheetName val="M&amp;A_D1"/>
      <sheetName val="M&amp;A_E1"/>
      <sheetName val="M&amp;A_G1"/>
      <sheetName val="Rate_analysis13"/>
      <sheetName val="[SHOPLIST_xls]/VW2"/>
      <sheetName val="[SHOPLIST_xls]/VWVU))tÏØ0__4"/>
      <sheetName val="[SHOPLIST_xls]/VWVU))tÏØ0__5"/>
      <sheetName val="Service_Type2"/>
      <sheetName val="Contract_Division2"/>
      <sheetName val="SubContract_Type2"/>
      <sheetName val="_SHOPLIST_xls_702"/>
      <sheetName val="_SHOPLIST_xls_70,_0s«iÆøí¬i2"/>
      <sheetName val="Mix_Design2"/>
      <sheetName val="Area_Breakdown_PER_LEVEL_LINK"/>
      <sheetName val="CF_Input"/>
      <sheetName val="DATA_INPUT"/>
      <sheetName val="Vordruck-Nr__7_1_3_D"/>
      <sheetName val="M&amp;A_D"/>
      <sheetName val="M&amp;A_E"/>
      <sheetName val="M&amp;A_G"/>
      <sheetName val="Rate_analysis12"/>
      <sheetName val="[SHOPLIST_xls]/VW1"/>
      <sheetName val="[SHOPLIST_xls]/VWVU))tÏØ0__2"/>
      <sheetName val="[SHOPLIST_xls]/VWVU))tÏØ0__3"/>
      <sheetName val="Service_Type1"/>
      <sheetName val="Contract_Division1"/>
      <sheetName val="SubContract_Type1"/>
      <sheetName val="_SHOPLIST_xls_701"/>
      <sheetName val="_SHOPLIST_xls_70,_0s«iÆøí¬i1"/>
      <sheetName val="Dash_board"/>
      <sheetName val="tender_allowances"/>
      <sheetName val="_Summary_BKG_034"/>
      <sheetName val="BILL_3R"/>
      <sheetName val="1_2_Staff_Schedule1"/>
      <sheetName val="Bill_10"/>
      <sheetName val="[SHOPLIST_xls]/VWVU))tÏØ0__11"/>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PROJECT_BRIEF(EX_NEW)6"/>
      <sheetName val="AREA_OF_APPLICATION5"/>
      <sheetName val="Risk_Breakdown_Structure5"/>
      <sheetName val="Geneí¬_i5"/>
      <sheetName val="steel_total5"/>
      <sheetName val="ELE_BOQ5"/>
      <sheetName val="[SHOPLIST_xls][SHOPLIST_xls]707"/>
      <sheetName val="Materials_1"/>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Floor_Box_4"/>
      <sheetName val="[SHOPLIST_xls][SHOPLIST_xls]709"/>
      <sheetName val="Materials_2"/>
      <sheetName val="BLOCK-A_(MEA_SHEET)1"/>
      <sheetName val="1_2_Staff_Schedule2"/>
      <sheetName val="Site_Dev_BOQ1"/>
      <sheetName val="Labour_Costs1"/>
      <sheetName val="Dash_board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VWVU))tÏØ0__11"/>
      <sheetName val="Dash_board2"/>
      <sheetName val="Site_Dev_BOQ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02"/>
      <sheetName val="03"/>
      <sheetName val="04"/>
      <sheetName val="01"/>
      <sheetName val="钢筋"/>
      <sheetName val="ConferenceCentre_x005f_x005f_x0"/>
      <sheetName val="Geneí¬_x005f_x005f_x005f_x0008_"/>
      <sheetName val="70_x005f_x005f_x005f_x0000_,_0_"/>
      <sheetName val="70,/0s«iÆøí¬"/>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DDL"/>
      <sheetName val="SCHEDULE"/>
      <sheetName val="Recon Template"/>
      <sheetName val="AOP Summary-2"/>
      <sheetName val="CIF COST ITEM"/>
      <sheetName val="Rates for public areas"/>
      <sheetName val="Qty-UG"/>
      <sheetName val="Labour_Rate_"/>
      <sheetName val="Cost_Heading"/>
      <sheetName val="D_&amp;_W_sizes"/>
      <sheetName val="SOPMA_DD"/>
      <sheetName val="Qtys_ZamZam_(Del__before)"/>
      <sheetName val="Qtys_Relocation_(Del_before)"/>
      <sheetName val="_Qtys_Sub_&amp;_Tents_(Del__before)"/>
      <sheetName val="Qtys__Signages_(Del__before)"/>
      <sheetName val="Qtys_Temporary_Passages_(Del)"/>
      <sheetName val="_Qtys_Ser__Rooms_(Del_before)"/>
      <sheetName val="Detbal"/>
      <sheetName val="Harewood"/>
      <sheetName val="Balance Sheet"/>
      <sheetName val="Estimate for approval"/>
      <sheetName val="HWDG"/>
      <sheetName val="ce"/>
      <sheetName val="Cost_any"/>
      <sheetName val="Set"/>
      <sheetName val="Model"/>
      <sheetName val="CONSTRUCTION COMPONENT"/>
      <sheetName val="[SHOPLIST.xls]/VWVU))tÏØ0__5"/>
      <sheetName val="[SHOPLIST.xls]/VWVU))tÏØ0__6"/>
      <sheetName val="[SHOPLIST.xls]/VWVU))tÏØ0__7"/>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VU))tÏØ0__8"/>
      <sheetName val="[SHOPLIST_xls]/VWVU))tÏØ0__9"/>
      <sheetName val="[SHOPLIST_xls][SHOPLIST_xls]711"/>
      <sheetName val="Dash_board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PRICE_INFO"/>
      <sheetName val="RC_SUMMARY"/>
      <sheetName val="LABOUR_PRODUCTIVITY-TAV"/>
      <sheetName val="MATERIAL_PRICES"/>
      <sheetName val="P-100_MRF_DB_R1"/>
      <sheetName val="Attach_4-18"/>
      <sheetName val="Ewaan_Show_Kitchen_(2)"/>
      <sheetName val="Cash_Flow_Working"/>
      <sheetName val="MN_T_B_"/>
      <sheetName val="Data_I_(2)"/>
      <sheetName val="rEFERENCES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Attach_4-182"/>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ARBQ"/>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SHOPLIST.xls][SHOPLIST.xls]/VW"/>
      <sheetName val="4"/>
      <sheetName val="Core Data"/>
      <sheetName val="[SHOPLIST.xls][SH"/>
      <sheetName val="[SHOPLIST.xls]70_"/>
      <sheetName val="70,/0s«iÆøí¬i1"/>
      <sheetName val="70,/0s«_iÆø_í¬"/>
      <sheetName val="70,/0s«iÆøí¬i2"/>
      <sheetName val="70,/0s«iÆøí¬i3"/>
      <sheetName val="P-Sum-Cab"/>
      <sheetName val="B2-DV No.02"/>
      <sheetName val="GENERAL SUMMARY"/>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Estimate_for_approval"/>
      <sheetName val="Det_Des"/>
      <sheetName val="DRUM"/>
      <sheetName val="ICM"/>
      <sheetName val="[SHOPLIST.xls]70_x0000_,/0_x0000_s«_x0008_i_x"/>
      <sheetName val="Laundry"/>
      <sheetName val="Finansal_tamamlanma_Eğrisi"/>
      <sheetName val="New_Bld"/>
      <sheetName val="KP1590_E"/>
      <sheetName val="主材价格"/>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_SHOPLIST.xls__SHOPLIST.xls_70_"/>
      <sheetName val="____ ___ __"/>
      <sheetName val="_SHOPLIST_xls__SHOPLIST_xls_70"/>
      <sheetName val="_SHOPLIST_xls__SHOPLIST_xls_70,"/>
      <sheetName val="70,_0"/>
      <sheetName val="_x005"/>
      <sheetName val="Geneí¬i_x000"/>
      <sheetName val="70_,_0_s«i_Æøí¬_x"/>
      <sheetName val="_SHOPLIST_xls__SHOPLIST_xls_70_"/>
      <sheetName val="___________"/>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Build-up"/>
      <sheetName val="PDT(L)1"/>
      <sheetName val="EE-PROP"/>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SHOPLIST_xls]70_"/>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Comp equip"/>
      <sheetName val="[SHOPLIST_xls][SH"/>
      <sheetName val="Quotation FM administration"/>
      <sheetName val="Quotation"/>
      <sheetName val="Quotation Visitor and Sec"/>
      <sheetName val="Service Charge"/>
      <sheetName val="Edwards"/>
      <sheetName val="CABLES "/>
      <sheetName val="Quotation Offices 108,9,10,11)"/>
      <sheetName val="Quotation modification"/>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SHOPLIST.xls]/VWVU))tÏØ0__8"/>
      <sheetName val="[SHOPLIST.xls]/VWVU))tÏØ0__9"/>
      <sheetName val="Abs PMRL"/>
      <sheetName val="L3-WBS Mapping"/>
      <sheetName val="BAFO CCL Submission"/>
      <sheetName val="Rate_analysis15"/>
      <sheetName val="Balance_Sheet"/>
      <sheetName val="Specialist"/>
      <sheetName val="Manpower"/>
      <sheetName val="Deliverables"/>
      <sheetName val="税费"/>
      <sheetName val="P1926-H2B Pkg 2A&amp;2B"/>
      <sheetName val="P1940-H2B Pkg 1 Guestrooms"/>
      <sheetName val="P1929-DHCT"/>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Trade_Summary"/>
      <sheetName val="Summary_"/>
      <sheetName val="B04-A_-_DIA_SUDEER"/>
      <sheetName val="04D_-_Tanmyat"/>
      <sheetName val="13-_B04-B_&amp;_C"/>
      <sheetName val="_SITE_09_B04-B&amp;C-AFAQ"/>
      <sheetName val="[SHOPLIST_xls]/VWVU))tÏØ0__61"/>
      <sheetName val="[SHOPLIST_xls]/VWVU))tÏØ0__71"/>
      <sheetName val="Sheet_Index"/>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Master data"/>
      <sheetName val="Section_by_layers_old"/>
      <sheetName val="Steel-Circular"/>
      <sheetName val="Backup"/>
      <sheetName val="piedathot"/>
      <sheetName val="projcasflo"/>
      <sheetName val="supdata"/>
      <sheetName val="devbud"/>
      <sheetName val="Pivots"/>
      <sheetName val="Basic Rate"/>
      <sheetName val="MASTER_RATE ANALYSIS"/>
      <sheetName val="BQLIST"/>
      <sheetName val="MAIN SUMMARY"/>
      <sheetName val="[SHOPLIST.xls]/VWVU))tÏØ0__10"/>
      <sheetName val="[SHOPLIST.xls]/VWVU))tÏØ0__11"/>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___________1"/>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Other Cost Norms"/>
      <sheetName val="[SHOPLIST.xls]70,/0s«iÆøí¬"/>
      <sheetName val="S"/>
      <sheetName val="Portfolio List"/>
      <sheetName val="[SHOPLIST_xls]/VWVU))tÏØ0  "/>
      <sheetName val="Staff"/>
      <sheetName val="Staff OLD "/>
      <sheetName val="BOQ.1.92"/>
      <sheetName val="[SHOPLIST.xls]/VWVU))tÏØ0__17"/>
      <sheetName val="[SHOPLIST.xls]/VWVU))tÏØ0__16"/>
      <sheetName val="[SHOPLIST.xls]/VWVU))tÏØ0__14"/>
      <sheetName val="[SHOPLIST.xls]/VWVU))tÏØ0__12"/>
      <sheetName val="[SHOPLIST.xls]/VWVU))tÏØ0__13"/>
      <sheetName val="[SHOPLIST.xls]/VWVU))tÏØ0__15"/>
      <sheetName val="CPA33-34"/>
      <sheetName val="Indices"/>
      <sheetName val="conc-foot-gradeslab"/>
      <sheetName val="TABLO-3"/>
      <sheetName val="Transport"/>
      <sheetName val="Indirect"/>
      <sheetName val="Contractor Application"/>
      <sheetName val="08 MEP Summary"/>
      <sheetName val="03B1"/>
      <sheetName val="03B2"/>
      <sheetName val="Addnl works"/>
      <sheetName val="VARIATIONS"/>
      <sheetName val="B3. Material on Site-Detail"/>
      <sheetName val="Weekly"/>
      <sheetName val="S-Curve Update"/>
      <sheetName val="BQMPALOC"/>
      <sheetName val="COLUMNS"/>
      <sheetName val="VESSELS "/>
      <sheetName val="예가표"/>
      <sheetName val="제출내역 (2)"/>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2gii"/>
      <sheetName val="Grand Summary "/>
      <sheetName val="Bill No.01 - GI "/>
      <sheetName val="combined "/>
      <sheetName val="summary-Optional "/>
      <sheetName val="B14.02 "/>
      <sheetName val="B21"/>
      <sheetName val="B22"/>
      <sheetName val="B27"/>
      <sheetName val="Prov.Sum "/>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SHOPLIST.xls]70_x005f_x0000_,/0_x000"/>
      <sheetName val="Cumulative Rail "/>
      <sheetName val="المعادلات"/>
      <sheetName val="BoQ-22-8-2019"/>
      <sheetName val="Tech"/>
      <sheetName val="WATER DUCT - IC 21"/>
      <sheetName val="Asset Desc"/>
      <sheetName val="Ref Arch"/>
      <sheetName val="Ledger"/>
      <sheetName val="Data "/>
      <sheetName val="L (4)"/>
      <sheetName val="IO"/>
      <sheetName val="FAL intern"/>
      <sheetName val="Wordsdata"/>
      <sheetName val="집계표"/>
      <sheetName val="개시대사 (2)"/>
      <sheetName val="T&amp;M"/>
      <sheetName val="Process"/>
      <sheetName val="Refinery"/>
      <sheetName val="Fructose"/>
      <sheetName val="Utilities"/>
      <sheetName val="Pipesizes"/>
      <sheetName val="Initial Data"/>
      <sheetName val="Package Status"/>
      <sheetName val="3"/>
      <sheetName val="Appendix-A -GRAND SUMMARY"/>
      <sheetName val="D9 (New Rate)"/>
      <sheetName val="Validation"/>
      <sheetName val="/VWVU))"/>
      <sheetName val="701"/>
      <sheetName val="70,1"/>
      <sheetName val="[SHOPLIST_xls][S1"/>
      <sheetName val="702"/>
      <sheetName val="70,2"/>
      <sheetName val="[SHOPLIST_xls][S2"/>
      <sheetName val="CIF_COST_ITEM"/>
      <sheetName val="Rates_for_public_areas"/>
      <sheetName val="TBEAM"/>
      <sheetName val="Bill 3 Boutique"/>
      <sheetName val="[SHOPLIST.xls]70,/0s«i_x"/>
      <sheetName val="BUAs and Sales Forecast"/>
      <sheetName val="Core_Data"/>
      <sheetName val="P1926-H2B_Pkg_2A&amp;2B"/>
      <sheetName val="P1940-H2B_Pkg_1_Guestrooms"/>
      <sheetName val="Recon_Template"/>
      <sheetName val="[SHOPLIST.xls]_VW__VU_________2"/>
      <sheetName val="[SHOPLIST.xls]_VW__VU_________3"/>
      <sheetName val="Drop down"/>
      <sheetName val="Account Codes"/>
      <sheetName val="[SHOPLIST.xls]/VWVU))tÏØ0__18"/>
      <sheetName val="[SHOPLIST.xls]/VWVU))tÏØ0__19"/>
      <sheetName val="_board7"/>
      <sheetName val="_boaboard (1)"/>
      <sheetName val="6.2 Floor Finishes"/>
      <sheetName val="SLHW"/>
      <sheetName val="[SHOPLIST.xls]70,/0s«iÆøí¬i1"/>
      <sheetName val="[SHOPLIST.xls]70,/0s«_iÆø_í¬"/>
      <sheetName val="[SHOPLIST.xls]70,/0s«iÆøí¬i2"/>
      <sheetName val="[SHOPLIST.xls]70,/0s«iÆøí¬i3"/>
      <sheetName val="BORDGC"/>
      <sheetName val="Gene��_x0008_i_x0000__x0000__x0014__x0000_0."/>
      <sheetName val="70_x0000_,/0_x0000_s�_x0008_i_x0000_��_x0003_��_x0008_i_x0000_"/>
      <sheetName val="Top_sh_x0000__x0000__x0001_Ԁ"/>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Div 10-Specialities "/>
      <sheetName val="MALE &amp; FEMALE "/>
      <sheetName val="DISABLE"/>
      <sheetName val="VIP"/>
      <sheetName val="ABLUTION"/>
      <sheetName val="JANITOR"/>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ورقة2"/>
      <sheetName val="LTR-2"/>
      <sheetName val="Div Summary"/>
      <sheetName val="Lagoons Breakdown Prices"/>
      <sheetName val="Cover HW Z2 "/>
      <sheetName val="TOTAL WORK"/>
      <sheetName val="part 3"/>
      <sheetName val="pile Length for Easter fence"/>
      <sheetName val=" Estimate  "/>
      <sheetName val="Equip."/>
      <sheetName val="Book1"/>
      <sheetName val="Démol."/>
      <sheetName val="Ravalement"/>
      <sheetName val="GAE8'97"/>
      <sheetName val="Overall"/>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Joseph Record"/>
      <sheetName val="[SHOPLIST_xls][SHOPLIST_xls]/VW"/>
      <sheetName val="Micro"/>
      <sheetName val="_SHOPLIST_xls_70,_0_x000"/>
      <sheetName val="Comp_equip"/>
      <sheetName val="Contractor_Application"/>
      <sheetName val="General_Summary"/>
      <sheetName val="08_MEP_Summary"/>
      <sheetName val="Addnl_works"/>
      <sheetName val="B3__Material_on_Site-Detail"/>
      <sheetName val="C-1"/>
      <sheetName val="PC "/>
      <sheetName val="Val"/>
      <sheetName val="App - A "/>
      <sheetName val="App- B "/>
      <sheetName val="App - C "/>
      <sheetName val="App - D "/>
      <sheetName val="App - E "/>
      <sheetName val="App - F"/>
      <sheetName val="App - G "/>
      <sheetName val="App - H"/>
      <sheetName val="2"/>
      <sheetName val="5"/>
      <sheetName val="7"/>
      <sheetName val="8"/>
      <sheetName val="9"/>
      <sheetName val="10"/>
      <sheetName val="13"/>
      <sheetName val="14"/>
      <sheetName val="15"/>
      <sheetName val="16"/>
      <sheetName val="17"/>
      <sheetName val="18"/>
      <sheetName val="C-2"/>
      <sheetName val="Concrete Breakdown"/>
      <sheetName val="Masonry Breakdown"/>
      <sheetName val="6"/>
      <sheetName val="GFA_HQ_Building31"/>
      <sheetName val="GFA_Conference30"/>
      <sheetName val="BQ_External30"/>
      <sheetName val="Penthouse_Apartment29"/>
      <sheetName val="Raw_Data29"/>
      <sheetName val="LABOUR_HISTOGRAM30"/>
      <sheetName val="StattCo_yCharges29"/>
      <sheetName val="Chiet_tinh_dz2229"/>
      <sheetName val="Chiet_tinh_dz3529"/>
      <sheetName val="CT_Thang_Mo29"/>
      <sheetName val="Graph_Data_(DO_NOT_PRINT)29"/>
      <sheetName val="@risk_rents_and_incentives29"/>
      <sheetName val="Car_park_lease29"/>
      <sheetName val="Net_rent_analysis29"/>
      <sheetName val="Poz-1_29"/>
      <sheetName val="Lab_Cum_Hist29"/>
      <sheetName val="LEVEL_SHEET29"/>
      <sheetName val="FOL_-_Bar29"/>
      <sheetName val="SPT_vs_PHI29"/>
      <sheetName val="Bill_No__229"/>
      <sheetName val="budget_summary_(2)28"/>
      <sheetName val="Budget_Analysis_Summary28"/>
      <sheetName val="Tender_Summary29"/>
      <sheetName val="Insurance_Ext29"/>
      <sheetName val="CT__PL28"/>
      <sheetName val="intr_stool_brkup28"/>
      <sheetName val="Body_Sheet28"/>
      <sheetName val="1_0_Executive_Summary28"/>
      <sheetName val="Customize_Your_Invoice29"/>
      <sheetName val="HVAC_BoQ29"/>
      <sheetName val="Projet,_methodes_&amp;_couts28"/>
      <sheetName val="Risques_majeurs_&amp;_Frais_Ind_28"/>
      <sheetName val="Top_sheet28"/>
      <sheetName val="Bill_227"/>
      <sheetName val="Bill_126"/>
      <sheetName val="Bill_326"/>
      <sheetName val="Bill_426"/>
      <sheetName val="Bill_526"/>
      <sheetName val="Bill_626"/>
      <sheetName val="Bill_726"/>
      <sheetName val="POWER_ASSUMPTIONS25"/>
      <sheetName val="Ap_A26"/>
      <sheetName val="SHOPLIST_xls25"/>
      <sheetName val="2_Div_14_26"/>
      <sheetName val="Softscape_Buildup24"/>
      <sheetName val="Mat'l_Rate24"/>
      <sheetName val="Dubai_golf25"/>
      <sheetName val="beam-reinft-IIInd_floor25"/>
      <sheetName val="beam-reinft-machine_rm25"/>
      <sheetName val="Invoice_Summary25"/>
      <sheetName val="PROJECT_BRIEF26"/>
      <sheetName val="Civil_Boq24"/>
      <sheetName val="C_(3)26"/>
      <sheetName val="HIRED_LABOUR_CODE22"/>
      <sheetName val="PA-_Consutant_22"/>
      <sheetName val="foot-slab_reinft22"/>
      <sheetName val="WITHOUT_C&amp;I_PROFIT_(3)24"/>
      <sheetName val="Activity_List24"/>
      <sheetName val="VALVE_CHAMBERS21"/>
      <sheetName val="Fire_Hydrants21"/>
      <sheetName val="B_GATE_VALVE21"/>
      <sheetName val="Sub_G1_Fire21"/>
      <sheetName val="Sub_G12_Fire21"/>
      <sheetName val="BILL_COV22"/>
      <sheetName val="Ra__stair22"/>
      <sheetName val="DETAILED__BOQ22"/>
      <sheetName val="M-Book_for_Conc22"/>
      <sheetName val="M-Book_for_FW22"/>
      <sheetName val="Materials_Cost(PCC)21"/>
      <sheetName val="India_F&amp;S_Template21"/>
      <sheetName val="IO_LIST21"/>
      <sheetName val="Material_21"/>
      <sheetName val="Quote_Sheet21"/>
      <sheetName val="Day_work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Eq__Mobilization20"/>
      <sheetName val="w't_table19"/>
      <sheetName val="BOQ_Direct_selling_cost21"/>
      <sheetName val="Elemental_Buildup19"/>
      <sheetName val="B09_120"/>
      <sheetName val="B185-B-9_120"/>
      <sheetName val="B185-B-9_220"/>
      <sheetName val="2_2)Revised_Cash_Flow19"/>
      <sheetName val="PMWeb_data20"/>
      <sheetName val="/VWVU))tÏØ0__20"/>
      <sheetName val="PointNo_519"/>
      <sheetName val="CHART_OF_ACCOUNTS20"/>
      <sheetName val="E-Bill_No_6_A-O20"/>
      <sheetName val="Working_for_RCC20"/>
      <sheetName val="Material_List_19"/>
      <sheetName val="Project_Cost_Breakdown17"/>
      <sheetName val="Index_List19"/>
      <sheetName val="Type_List19"/>
      <sheetName val="File_Types19"/>
      <sheetName val="SS_MH20"/>
      <sheetName val="입찰내역_발주처_양식19"/>
      <sheetName val="LIST_DO_NOT_REMOVE18"/>
      <sheetName val="B6_2_18"/>
      <sheetName val="PRECAST_lightconc-II21"/>
      <sheetName val="final_abstract21"/>
      <sheetName val="Summary_of_Work17"/>
      <sheetName val="Employee_List17"/>
      <sheetName val="Chiet_t19"/>
      <sheetName val="Staffing_and_Rates_IA19"/>
      <sheetName val="Item-_Compact17"/>
      <sheetName val="E_&amp;_R17"/>
      <sheetName val="Staff_Acco_17"/>
      <sheetName val="TBAL9697_-group_wise__sdpl17"/>
      <sheetName val="SITE_WORK16"/>
      <sheetName val="Рабочий_лист16"/>
      <sheetName val="Annex_1_Sect_3a17"/>
      <sheetName val="Annex_1_Sect_3a_117"/>
      <sheetName val="Annex_1_Sect_3b17"/>
      <sheetName val="Annex_1_Sect_3c17"/>
      <sheetName val="HOURLY_RATES17"/>
      <sheetName val="RAB_AR&amp;STR16"/>
      <sheetName val="Rate_summary16"/>
      <sheetName val="PT_141-_Site_A_Landscape16"/>
      <sheetName val="Labour_&amp;_Plant16"/>
      <sheetName val="Back_up16"/>
      <sheetName val="[SHOPLIST_xls][SHOPLIST_xls]726"/>
      <sheetName val="INDIGINEOUS_ITEMS_16"/>
      <sheetName val="TRIAL_BALANCE16"/>
      <sheetName val="Ave_wtd_rates16"/>
      <sheetName val="Debits_as_on_12_04_0816"/>
      <sheetName val="STAFFSCHED_16"/>
      <sheetName val="Common_Variables16"/>
      <sheetName val="d-safe_DELUXE16"/>
      <sheetName val="Mall_waterproofing16"/>
      <sheetName val="MSCP_waterproofing16"/>
      <sheetName val="Duct_Accesories16"/>
      <sheetName val="????_???_??16"/>
      <sheetName val="[SHOPLIST_xls]70,/0s«iÆøí¬i16"/>
      <sheetName val="train_cash16"/>
      <sheetName val="accom_cash16"/>
      <sheetName val="GPL_Revenu_Update16"/>
      <sheetName val="DO_NOT_TOUCH16"/>
      <sheetName val="Work_Type16"/>
      <sheetName val="Resumo_Empreitadas12"/>
      <sheetName val="PROJECT_BRIEF(EX_NEW)16"/>
      <sheetName val="Geneí¬_i15"/>
      <sheetName val="[SHOPLIST_xls]/VW11"/>
      <sheetName val="[SHOPLIST_xls]/VWVU))tÏØ0__55"/>
      <sheetName val="[SHOPLIST_xls]/VWVU))tÏØ0__56"/>
      <sheetName val="Floor_Box_13"/>
      <sheetName val="PPA_Summary12"/>
      <sheetName val="Risk_Breakdown_Structure15"/>
      <sheetName val="[SHOPLIST_xls][SHOPLIST_xls]727"/>
      <sheetName val="Equipment_Rates11"/>
      <sheetName val="Z-_GENERAL_PRICE_SUMMARY12"/>
      <sheetName val="steel_total15"/>
      <sheetName val="ELE_BOQ15"/>
      <sheetName val="Cashflow_projection11"/>
      <sheetName val="Area_Breakdown_PER_LEVEL_LINK11"/>
      <sheetName val="CF_Input11"/>
      <sheetName val="DATA_INPUT11"/>
      <sheetName val="Vordruck-Nr__7_1_3_D11"/>
      <sheetName val="M&amp;A_D11"/>
      <sheetName val="M&amp;A_E11"/>
      <sheetName val="M&amp;A_G11"/>
      <sheetName val="AREA_OF_APPLICATION15"/>
      <sheetName val="[SHOPLIST_xls]7011"/>
      <sheetName val="[SHOPLIST_xls]70,11"/>
      <sheetName val="Base_BM-rebar11"/>
      <sheetName val="Materials_11"/>
      <sheetName val="1_2_Staff_Schedule12"/>
      <sheetName val="Mix_Design12"/>
      <sheetName val="%_prog_figs_-u5_and_total12"/>
      <sheetName val="_VWVU))tÏØ0__13"/>
      <sheetName val="Service_Type9"/>
      <sheetName val="Contract_Division9"/>
      <sheetName val="SubContract_Type9"/>
      <sheetName val="_SHOPLIST_xls_708"/>
      <sheetName val="_SHOPLIST_xls_70,_0s«iÆøí¬i8"/>
      <sheetName val="E_H_-_H__W_P_11"/>
      <sheetName val="E__H__Treatment_for_pile_cap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SHOPLIST_xls][SHOPLIST_xls][11"/>
      <sheetName val="Bill_1011"/>
      <sheetName val="Cost_Heading8"/>
      <sheetName val="D_&amp;_W_sizes8"/>
      <sheetName val="SOPMA_DD8"/>
      <sheetName val="Data_Sheet11"/>
      <sheetName val="Labour_Rate_8"/>
      <sheetName val="Qtys_ZamZam_(Del__before)8"/>
      <sheetName val="Qtys_Relocation_(Del_before)8"/>
      <sheetName val="_Qtys_Sub_&amp;_Tents_(Del__before8"/>
      <sheetName val="Qtys__Signages_(Del__before)8"/>
      <sheetName val="Qtys_Temporary_Passages_(Del)8"/>
      <sheetName val="_Qtys_Ser__Rooms_(Del_before)8"/>
      <sheetName val="Data_I_(2)8"/>
      <sheetName val="rEFERENCES_8"/>
      <sheetName val="Attach_4-188"/>
      <sheetName val="Site_Dev_BOQ11"/>
      <sheetName val="Labour_Costs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tender_allowances11"/>
      <sheetName val="_Summary_BKG_03411"/>
      <sheetName val="BILL_3R11"/>
      <sheetName val="BLOCK-A_(MEA_SHEET)11"/>
      <sheetName val="Ewaan_Show_Kitchen_(2)8"/>
      <sheetName val="Cash_Flow_Working8"/>
      <sheetName val="MN_T_B_8"/>
      <sheetName val="BOQ_(2)2"/>
      <sheetName val="LABOUR_RATE2"/>
      <sheetName val="Material_Rate2"/>
      <sheetName val="Labor_abs-PW2"/>
      <sheetName val="Labor_abs-NMR2"/>
      <sheetName val="kppl_pl2"/>
      <sheetName val="Basic_Rates2"/>
      <sheetName val="Combined_Results_2"/>
      <sheetName val="Dash_board11"/>
      <sheetName val="2F_회의실견적(5_14_일대)4"/>
      <sheetName val="_HIT-&gt;HMC_견적(3900)4"/>
      <sheetName val="Appendix_B4"/>
      <sheetName val="[SHOPLIST_xls][SHOPLIST_xls]728"/>
      <sheetName val="Trade_Summary1"/>
      <sheetName val="Sheet_Index1"/>
      <sheetName val="[SHOPLIST_xls]/VWVU))tÏØ0__60"/>
      <sheetName val="Div_07_Thermal_&amp;_Moisture2"/>
      <sheetName val="Data_Validation2"/>
      <sheetName val="Div26_-_Elect2"/>
      <sheetName val="CHUNG_CU_CARRILON2"/>
      <sheetName val="Summary_1"/>
      <sheetName val="B04-A_-_DIA_SUDEER1"/>
      <sheetName val="04D_-_Tanmyat1"/>
      <sheetName val="13-_B04-B_&amp;_C1"/>
      <sheetName val="_SITE_09_B04-B&amp;C-AFAQ1"/>
      <sheetName val="New_Rates1"/>
      <sheetName val="[SHOPLIST_xls]/VWVU))tÏØ0__62"/>
      <sheetName val="[SHOPLIST_xls]/VWVU))tÏØ0__63"/>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3_2_EB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Balance_Sheet1"/>
      <sheetName val="Estimate_for_approval1"/>
      <sheetName val="CONSTRUCTION_COMPONENT1"/>
      <sheetName val="[SHOPLIST_xls]/VWVU))tÏØ0__72"/>
      <sheetName val="[SHOPLIST_xls][SHOPLIST_xls]/V1"/>
      <sheetName val="[SHOPLIST_xls][SH1"/>
      <sheetName val="___________2"/>
      <sheetName val="[SHOPLIST_xls]70_1"/>
      <sheetName val="BOQ_1_92"/>
      <sheetName val="[SHOPLIST_xls]70,/0s«i_x"/>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B2-DV_No_02"/>
      <sheetName val="L3-WBS_Mapping"/>
      <sheetName val="BAFO_CCL_Submission"/>
      <sheetName val="Abs_PMRL"/>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MATERIALS"/>
      <sheetName val="/VWVU))tÏØ0__21"/>
      <sheetName val="AOP_Summary-23"/>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_SHOPLIST_xls__SHOPLIST_xls_704"/>
      <sheetName val="_SHOPLIST_xls__SHOPLIST_xls_705"/>
      <sheetName val="[SHOPLIST_xls]/VWVU))tÏØ0__81"/>
      <sheetName val="[SHOPLIST_xls]/VWVU))tÏØ0__91"/>
      <sheetName val="_SHOPLIST_xls__SHOPLIST_xls_706"/>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Electrical_database"/>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SHOPLIST.xls][SHOPLIST.xls]70?"/>
      <sheetName val="Top_s๨ꫝ_x0000__x0000_퀀"/>
      <sheetName val="Item List OLD"/>
      <sheetName val="KEYFIGURES"/>
      <sheetName val="Detail Page"/>
      <sheetName val="Gene��_x0008_i"/>
      <sheetName val="Top_sh"/>
      <sheetName val="[SHOPLIST.xls]70_x005f_x0000___0_x0_2"/>
      <sheetName val="[SHOPLIST.xls]70___0_s__i_____3"/>
      <sheetName val="[SHOPLIST.xls]70___0_s__i_____4"/>
      <sheetName val="[SHOPLIST.xls][SHOPLIST.xls]7_2"/>
      <sheetName val="[SHOPLIST.xls][SHOPLIST.xls]7_3"/>
      <sheetName val="[SHOPLIST.xls][SHOPLIST.xls]7_4"/>
      <sheetName val="[SHOPLIST.xls][SHOPLIST_xls]7_2"/>
      <sheetName val="[SHOPLIST.xls][SHOPLIST_xls]7_3"/>
      <sheetName val="[SHOPLIST.xls][SHOPLIST.xls]__2"/>
      <sheetName val="[SHOPLIST.xls][SHOPLIST.xls]__3"/>
      <sheetName val="[SHOPLIST.xls][SHOPLIST_xls]7_4"/>
      <sheetName val="[SHOPLIST.xls][SHOPLIST_xls]7_5"/>
      <sheetName val="[SHOPLIST.xls][SHOPLIST_xls]7_6"/>
      <sheetName val="[SHOPLIST.xls][SHOPLIST.xls]__4"/>
      <sheetName val="[SHOPLIST.xls][SHOPLIST.xls]__5"/>
      <sheetName val="[SHOPLIST.xls][SHOPLIST.xls]__6"/>
      <sheetName val="[SHOPLIST.xls][SHOPLIST.xls]__7"/>
      <sheetName val="[SHOPLIST.xls][SHOPLIST_xls]7_7"/>
      <sheetName val="[SHOPLIST.xls][SHOPLIST_xls]7_8"/>
      <sheetName val="[SHOPLIST.xls][SHOPLIST.xls]__8"/>
      <sheetName val="[SHOPLIST.xls][SHOPLIST.xls]7_5"/>
      <sheetName val="[SHOPLIST.xls][SHOPLIST.xls]7_6"/>
      <sheetName val="[SHOPLIST.xls][SHOPLIST.xls]__9"/>
      <sheetName val="[SHOPLIST.xls][SHOPLIST.xls]_10"/>
      <sheetName val="[SHOPLIST.xls][SHOPLIST.xls]7_7"/>
      <sheetName val="[SHOPLIST.xls][SHOPLIST.xls]_11"/>
      <sheetName val="[SHOPLIST.xls][SHOPLIST.xls]_12"/>
      <sheetName val="[SHOPLIST.xls][SHOPLIST_xls]__2"/>
      <sheetName val="[SHOPLIST.xls][SHOPLIST_xls]__3"/>
      <sheetName val="[SHOPLIST.xls][SHOPLIST_xls]__4"/>
      <sheetName val="[SHOPLIST.xls][SHOPLIST_xls]__5"/>
      <sheetName val="[SHOPLIST.xls][SHOPLIST.xls]_13"/>
      <sheetName val="[SHOPLIST.xls][SHOPLIST_xls]7_9"/>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70_x005f_x005f_x005f_x0000__2"/>
      <sheetName val="[SHOPLIST.xls][SHOPLIST.xls]7_8"/>
      <sheetName val="[SHOPLIST.xls][SHOPLIST.xls]_14"/>
      <sheetName val="[SHOPLIST.xls][SHOPLIST.xls]_15"/>
      <sheetName val="[SHOPLIST.xls]_SHOPLIST_xls_101"/>
      <sheetName val="[SHOPLIST.xls]_SHOPLIST_xls_102"/>
      <sheetName val="[SHOPLIST.xls][SHOPLIST.xls]7_9"/>
      <sheetName val="[SHOPLIST.xls][SHOPLIST.xls]_16"/>
      <sheetName val="[SHOPLIST.xls][SHOPLIST.xls]_17"/>
      <sheetName val="[SHOPLIST.xls][SHOPLIST.xls]_18"/>
      <sheetName val="[SHOPLIST.xls][SHOPLIST.xls]_19"/>
      <sheetName val="[SHOPLIST.xls][SHOPLIST.xls]_20"/>
      <sheetName val="[SHOPLIST.xls][SHOPLIST.xls]_21"/>
      <sheetName val="[SHOPLIST.xls][SHOPLIST.xls]_22"/>
      <sheetName val="[SHOPLIST.xls][SHOPLIST.xls]_23"/>
      <sheetName val="[SHOPLIST.xls][SHOPLIST.xls]_24"/>
      <sheetName val="[SHOPLIST.xls][SHOPLIST.xls]_25"/>
      <sheetName val="[SHOPLIST.xls][SHOPLIST.xls]_26"/>
      <sheetName val="[SHOPLIST.xls][SHOPLIST.xls]_27"/>
      <sheetName val="[SHOPLIST.xls][SHOPLIST.xls]_28"/>
      <sheetName val="[SHOPLIST.xls][SHOPLIST.xls]_29"/>
      <sheetName val="National"/>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FLOOR AND CEILING"/>
      <sheetName val="area comp 2011 01 18 (2)"/>
      <sheetName val="Bill3-Basement"/>
      <sheetName val="drop down lists"/>
      <sheetName val="PH 5"/>
      <sheetName val="BM"/>
      <sheetName val="ConferenceCentre_옰ʒ䄂ʒ鵠ʐ䄂ʒ閐̐脭め_x0005_"/>
      <sheetName val="Top_s灨ὔ밀ὔ턀"/>
      <sheetName val="[SH"/>
      <sheetName val="70_"/>
      <sheetName val="703"/>
      <sheetName val="70,/0s«iÆøí¬i4"/>
      <sheetName val="[SHOPLIST.xls]/VW"/>
      <sheetName val="70,/0s«iÆøí¬i5"/>
      <sheetName val="Cost Heaࡤing"/>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intr_stool_brkup_x0000_"/>
      <sheetName val="Landscape No.1"/>
      <sheetName val="MEP No.3"/>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Rate_analysis16"/>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_VWVU))tÏØ0__14"/>
      <sheetName val="Floor_Box_14"/>
      <sheetName val="Equipment_Rates12"/>
      <sheetName val="[SHOPLIST_xls]/VW12"/>
      <sheetName val="[SHOPLIST_xls]/VWVU))tÏØ0__64"/>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5"/>
      <sheetName val="[SHOPLIST_xls]/VWVU))tÏØ0__66"/>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_SHOPLIST_xls_709"/>
      <sheetName val="_SHOPLIST_xls_70,_0s«iÆøí¬i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precast_RC_element3"/>
      <sheetName val="pile_Fabrication3"/>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CIF_COST_ITEM1"/>
      <sheetName val="Rates_for_public_areas1"/>
      <sheetName val="Abs_PMRL1"/>
      <sheetName val="Recon_Template1"/>
      <sheetName val="Master_data"/>
      <sheetName val="Basic_Rate"/>
      <sheetName val="MASTER_RATE_ANALYSIS"/>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MAIN_SUMMARY"/>
      <sheetName val="개시대사_(2)"/>
      <sheetName val="6_2_Floor_Finishes"/>
      <sheetName val="Cumulative_Rail_"/>
      <sheetName val="Staff_OLD_"/>
      <sheetName val="Finansal_tamamlanma_Eğrisi3"/>
      <sheetName val="New_Bld3"/>
      <sheetName val="HB_CEC_schd_4_23"/>
      <sheetName val="HB_CEC_schd_4_33"/>
      <sheetName val="HB_CEC_schd_5_23"/>
      <sheetName val="HB_CEC_schd_6_23"/>
      <sheetName val="HB_CEC_schd_7_23"/>
      <sheetName val="HB_CEC_schd_9_23"/>
      <sheetName val="Doha_Farm3"/>
      <sheetName val="Dropdown_List3"/>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ortfolio_List"/>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MI"/>
      <sheetName val="Milestone"/>
      <sheetName val="Top_s๨ꫝ"/>
      <sheetName val="8.0 Programme"/>
      <sheetName val="Drop_Down_Data1"/>
      <sheetName val="Rules_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L3-WBS_Mapping1"/>
      <sheetName val="BAFO_CCL_Submission1"/>
      <sheetName val="[SHOPLIST_xls]/VWVU))tÏØ0__82"/>
      <sheetName val="[SHOPLIST_xls]/VWVU))tÏØ0__92"/>
      <sheetName val="P1926-H2B_Pkg_2A&amp;2B1"/>
      <sheetName val="P1940-H2B_Pkg_1_Guestrooms1"/>
      <sheetName val="BOQ_1_921"/>
      <sheetName val="[SHOPLIST_xls]/VWVU))tÏØ0__73"/>
      <sheetName val="[SHOPLIST_xls]/VWVU))tÏØ0__74"/>
      <sheetName val="[SHOPLIST_xls]/VWVU))tÏØ0__75"/>
      <sheetName val="Initial_Data"/>
      <sheetName val="Package_Status"/>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iv_Summary"/>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SHOPLIST.xls]/VWVU))"/>
      <sheetName val="[SHOPLIST.xls]_SHOPLIST_xls_103"/>
      <sheetName val="MFG"/>
      <sheetName val="Surbhi"/>
      <sheetName val="XL4Test5"/>
      <sheetName val="P-Ins_&amp;_Bonds"/>
      <sheetName val="BFS"/>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pacing of Delineators"/>
      <sheetName val="bill no. 3"/>
      <sheetName val="[SHOPLIST.xls]70___0_s__i_____5"/>
      <sheetName val="[SHOPLIST.xls]_VW__VU_________4"/>
      <sheetName val="[SHOPLIST.xls]_VW__VU_________5"/>
      <sheetName val="[SHOPLIST.xls]70___0_s__i_____6"/>
      <sheetName val="[SHOPLIST.xls]70_x005f_x0000___0_x0_3"/>
      <sheetName val="[SHOPLIST.xls]70___0_s__i_____7"/>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___0_s__i____14"/>
      <sheetName val="[SHOPLIST.xls]_VW__VU________10"/>
      <sheetName val="[SHOPLIST.xls]70___0_s__i____15"/>
      <sheetName val="[SHOPLIST.xls]70_x005f_x0000___0_x0_6"/>
      <sheetName val="[SHOPLIST.xls]70___0_s__i____16"/>
      <sheetName val="[SHOPLIST.xls]_VW__VU________11"/>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Closing"/>
      <sheetName val="[SHOPLIST_xls]/VW"/>
      <sheetName val="Income Statement"/>
      <sheetName val="Detail_Page"/>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SHOPLIST_xls]70_x005f_x0000_,/0_x000"/>
      <sheetName val="SI_22"/>
      <sheetName val="TO_List"/>
      <sheetName val="CCTV_DATA"/>
      <sheetName val="_boaboard_(1)"/>
      <sheetName val="Gene��i0_"/>
      <sheetName val="70,/0s�i����i"/>
      <sheetName val="Top_shԀ"/>
      <sheetName val="Rectangular Duct"/>
      <sheetName val="[SHOPLIST.xls]70,/0s«iÆøí¬i4"/>
      <sheetName val="[SHOPLIST.xls]70,/0s«iÆøí¬i5"/>
      <sheetName val="ASD Sum of Parts"/>
      <sheetName val="djfx"/>
      <sheetName val="Calendar"/>
      <sheetName val="Sheet9"/>
      <sheetName val="Materials Cost"/>
      <sheetName val="FEVA"/>
      <sheetName val="HO Costs"/>
      <sheetName val="Reference"/>
      <sheetName val="beam-reinft"/>
      <sheetName val="[SHOPLIST.xls]/VWVU))tÏØ0__20"/>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BoQ(2)"/>
      <sheetName val="tower and monopoles "/>
      <sheetName val="S-Curve_Update"/>
      <sheetName val="VESSELS_"/>
      <sheetName val="Product Sheet40"/>
      <sheetName val="HVAC"/>
      <sheetName val="HVAC-Qty"/>
      <sheetName val="RBD-AHU"/>
      <sheetName val="RBD ENG"/>
      <sheetName val="RBD-EX-RF-01"/>
      <sheetName val="RBD SLD.RLD"/>
      <sheetName val="RBD-VAV"/>
      <sheetName val="V.Summary"/>
      <sheetName val="C-10"/>
      <sheetName val="C-11"/>
      <sheetName val="C-12"/>
      <sheetName val="C-3"/>
      <sheetName val="C-4"/>
      <sheetName val="C-5"/>
      <sheetName val="C-5A"/>
      <sheetName val="C-6"/>
      <sheetName val="C-6A"/>
      <sheetName val="C-7"/>
      <sheetName val="C-8"/>
      <sheetName val="C-9"/>
      <sheetName val="STAND98"/>
      <sheetName val="辽电初设.XLS 定额"/>
      <sheetName val="SUBS SUM"/>
      <sheetName val="inter"/>
      <sheetName val="MSH51C"/>
      <sheetName val="B.Room W.Done Progress"/>
      <sheetName val="SUMMARY (ROOM)"/>
      <sheetName val="W.D Prgress Public area"/>
      <sheetName val="SUMMARY Public"/>
      <sheetName val="Comparision"/>
      <sheetName val="SI_222"/>
      <sheetName val="TO_List2"/>
      <sheetName val="CCTV_DATA2"/>
      <sheetName val="FAL_intern2"/>
      <sheetName val="FAL_intern"/>
      <sheetName val="SI_221"/>
      <sheetName val="TO_List1"/>
      <sheetName val="CCTV_DATA1"/>
      <sheetName val="FAL_intern1"/>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Administrative Prices"/>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Data Works"/>
      <sheetName val="Works"/>
      <sheetName val="UC-Testing"/>
      <sheetName val="Control Panel"/>
      <sheetName val="_SHOPLIST.xls_70_x005f_x0000_,_0_x000"/>
      <sheetName val="JAN"/>
      <sheetName val="[SHOPLIST.xls]70_x0000_,/0_x000"/>
      <sheetName val="Tender Stage"/>
      <sheetName val="Delay Clasifications"/>
      <sheetName val="PA Milestones"/>
      <sheetName val="Mnhr Book Updated 11.10.2018"/>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70_x005f_x0000_,/0_x005f_x0000_"/>
      <sheetName val="プロジェクト概要"/>
      <sheetName val="Services_InitialEst_UtilityServ"/>
      <sheetName val="SoW_Assess_Blank_Form"/>
      <sheetName val="VO_Breakdown"/>
      <sheetName val="Measurement_Sheet"/>
      <sheetName val="Schedule_of_Drawings"/>
      <sheetName val="SI_Schedule"/>
      <sheetName val="ContraCharge_Schedule"/>
      <sheetName val="S-Curve_Update1"/>
      <sheetName val="[SHOPLIST_xls]70_x005f_x0000_,/0_x001"/>
      <sheetName val="SoW_Assess_Blank_Form1"/>
      <sheetName val="VO_Breakdown1"/>
      <sheetName val="Measurement_Sheet1"/>
      <sheetName val="Schedule_of_Drawings1"/>
      <sheetName val="SI_Schedule1"/>
      <sheetName val="ContraCharge_Schedule1"/>
      <sheetName val="VESSELS_1"/>
      <sheetName val="Unit cost- Drain-Protection-1 "/>
      <sheetName val="Unit cost- Drain-Protection-2"/>
      <sheetName val="HSBC"/>
      <sheetName val="REBAR"/>
      <sheetName val="Cost Summary"/>
      <sheetName val="Cost Summary SD"/>
      <sheetName val="Schedule S-Curve Revision#3"/>
      <sheetName val="2.223M_due to adj profit"/>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xls]70,/0s«iÆøí¬i6"/>
      <sheetName val="[SHOPLIST.xls]/VW1"/>
      <sheetName val="[SHOPLIST.xls]70,/0s«iÆøí¬i7"/>
      <sheetName val="[SHOPLIST.xls]/VW2"/>
      <sheetName val="[SHOPLIST.xls]/VWVU))tÏØ0__21"/>
      <sheetName val="[SHOPLIST.xls]/VWVU))tÏØ0__31"/>
      <sheetName val="[SHOPLIST.xls]70,/0s«_iÆø_í¬_i1"/>
      <sheetName val="[SHOPLIST.xls]70?,/0?s«i?Æøí¬i1"/>
      <sheetName val="[SHOPLIST.xls]/VWVU))tÏØ0__22"/>
      <sheetName val="[SHOPLIST.xls]/VWVU))tÏØ0__32"/>
      <sheetName val="[SHOPLIST.xls]70,/0s«_iÆø_í¬_i2"/>
      <sheetName val="[SHOPLIST.xls]70?,/0?s«i?Æøí¬i2"/>
      <sheetName val="[SHOPLIST.xls]70,/0s«iÆøí¬i8"/>
      <sheetName val="[SHOPLIST.xls]/VW3"/>
      <sheetName val="[SHOPLIST.xls]/VWVU))tÏØ0__2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Kur"/>
      <sheetName val="HAKEDİŞ "/>
      <sheetName val="keşif özeti"/>
      <sheetName val="Katsayılar"/>
      <sheetName val="[SHOPLIST.xls]70,/0s�i����i"/>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DVL"/>
      <sheetName val="[SHOPLIST_xls]70,/0s«_iÆø_í¬1"/>
      <sheetName val="[SHOPLIST_xls]70,/0s«iÆøí¬i31"/>
      <sheetName val="[SHOPLIST_xls]70,/0s«_iÆø_í¬2"/>
      <sheetName val="[SHOPLIST_xls]70,/0s«iÆøí¬i22"/>
      <sheetName val="[SHOPLIST_xls]70,/0s«iÆøí¬i32"/>
      <sheetName val="[SHOPLIST_xls]70,/0s«i_x1"/>
      <sheetName val="foot-slab_rein_x0000__x0000_"/>
      <sheetName val="foot-slab_reinø_x0006_"/>
      <sheetName val="foot-slab_reinÝ¥"/>
      <sheetName val="foot-slab_reinP"/>
      <sheetName val="SUM-AIR-Submit"/>
      <sheetName val="Schedules PL"/>
      <sheetName val="Schedules BS"/>
      <sheetName val="Summary-margin calc"/>
      <sheetName val="Qty SR"/>
      <sheetName val="EW SR"/>
      <sheetName val="Cost Rates"/>
      <sheetName val="LOOKUP(MM)"/>
      <sheetName val="간접비내역-1"/>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AN"/>
      <sheetName val="Beach Villas"/>
      <sheetName val="Overwater Villas"/>
      <sheetName val="Presidential Villa"/>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GRAPH_DATA"/>
      <sheetName val=" N Finansal Eğri"/>
      <sheetName val="Mp-team 1"/>
      <sheetName val="1 Summary"/>
      <sheetName val="co-no.2"/>
      <sheetName val="Lstsub"/>
      <sheetName val="Arch"/>
      <sheetName val="DB"/>
      <sheetName val="BULD_3"/>
      <sheetName val="BLOCK_K"/>
      <sheetName val="제출내역_(2)"/>
      <sheetName val="[SHOPLIST.xls][SHOPLIST_xls]/VW"/>
      <sheetName val="Non-Positioin Summary"/>
      <sheetName val="Detail_Page1"/>
      <sheetName val="BT3-Package 05"/>
      <sheetName val="BOQ-Civil"/>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SHOPLIST.xls]_VW__VU________18"/>
      <sheetName val="[SHOPLIST.xls]_VW__VU________19"/>
      <sheetName val="[SHOPLIST.xls]70_x005f_x0000___0_x_10"/>
      <sheetName val="[SHOPLIST.xls]70___0_s__i____28"/>
      <sheetName val="[SHOPLIST.xls]70___0_s__i____29"/>
      <sheetName val="Index sheet"/>
      <sheetName val="hiddenSheet"/>
      <sheetName val="STOCKWTG"/>
      <sheetName val="POLY"/>
      <sheetName val="Advance Recovery"/>
      <sheetName val="SC Cost FEB 03"/>
      <sheetName val="DVM Sizing Calculator- 10 ips "/>
      <sheetName val="URA-C1"/>
      <sheetName val="satış planı (2)"/>
      <sheetName val="Tahsilat"/>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Bill_3_Boutique"/>
      <sheetName val="Landscape_No_1"/>
      <sheetName val="MEP_No_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Item_List_OLD"/>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Gene��i"/>
      <sheetName val="_Structural"/>
      <sheetName val="Travel_Cranes"/>
      <sheetName val="Recap_Travel_Crane"/>
      <sheetName val="Recap_Architect"/>
      <sheetName val="Recap_External"/>
      <sheetName val="Recap_Struct"/>
      <sheetName val="Package_1"/>
      <sheetName val="Recap_Lift"/>
      <sheetName val="[SHOPLIST_xls][SHOPLIST_xls]70?"/>
      <sheetName val="Spacing_of_Delineators"/>
      <sheetName val="P-Ins_&amp;_Bonds1"/>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Macro custom function"/>
      <sheetName val="Inventory "/>
      <sheetName val="Note"/>
      <sheetName val="DIRLBR"/>
      <sheetName val="2.0 Cover Sum"/>
      <sheetName val="foot-slab_rein"/>
      <sheetName val="REQ_REMARKS"/>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G29A"/>
      <sheetName val="PRO_DCI"/>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FAL_intern3"/>
      <sheetName val="Fdata"/>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Fee Rate Summary"/>
      <sheetName val="NPV"/>
      <sheetName val="P Staff fac"/>
      <sheetName val="foot-slab_reinø"/>
      <sheetName val="Internal"/>
      <sheetName val="Summary year Plan"/>
      <sheetName val="RateAnalysis"/>
      <sheetName val="maingirder"/>
      <sheetName val="basic-data"/>
      <sheetName val="Enquire"/>
      <sheetName val="ROY"/>
      <sheetName val="12"/>
      <sheetName val="BS "/>
      <sheetName val="Accounts"/>
      <sheetName val="footing for SP"/>
      <sheetName val="M-480"/>
      <sheetName val="M-519"/>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Sheet"/>
      <sheetName val="14267"/>
      <sheetName val="shuttering"/>
      <sheetName val="CFS3"/>
      <sheetName val="Structured Cabling"/>
      <sheetName val="IS"/>
      <sheetName val="Configurations"/>
      <sheetName val="Technical"/>
      <sheetName val="BUR"/>
      <sheetName val="FSA"/>
      <sheetName val="Currency Rate"/>
      <sheetName val="contents "/>
      <sheetName val="Div.8 - Opening"/>
      <sheetName val="Div .9- Finishes"/>
      <sheetName val="Total "/>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Utility Summary"/>
      <sheetName val="[SHOPLIST_xls]70,/0_x000"/>
      <sheetName val="_SHOPLIST_xls_70_x005f_x0000_,_0_x000"/>
      <sheetName val="[SHOPLIST_xls]70___0_s__i____14"/>
      <sheetName val="[SHOPLIST_xls]_VW__VU________10"/>
      <sheetName val="[SHOPLIST_xls]_VW__VU________11"/>
      <sheetName val="[SHOPLIST_xls]70_x005f_x0000___0_x0_6"/>
      <sheetName val="[SHOPLIST_xls]70___0_s__i____15"/>
      <sheetName val="[SHOPLIST_xls]_SHOPLIST_xls_464"/>
      <sheetName val="[SHOPLIST_xls]_SHOPLIST_xls_465"/>
      <sheetName val="[SHOPLIST_xls]70___0_s__i____16"/>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_SHOPLIST_xls_583"/>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70_x005f_x005f_x005f_x0000__5"/>
      <sheetName val="[SHOPLIST_xls]_SHOPLIST_xls_604"/>
      <sheetName val="[SHOPLIST_xls]_SHOPLIST_xls_605"/>
      <sheetName val="[SHOPLIST_xls]_SHOPLIST_xls_606"/>
      <sheetName val="[SHOPLIST_xls]_SHOPLIST_xls_607"/>
      <sheetName val="[SHOPLIST_xls]_SHOPLIST_xls_608"/>
      <sheetName val="[SHOPLIST_xls]_SHOPLIST_xls_609"/>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Mnhr_Book_Updated_11_10_2018"/>
      <sheetName val="All BGL List"/>
      <sheetName val="Budget Config"/>
      <sheetName val="All Department List"/>
      <sheetName val="foot-slab_reinl"/>
      <sheetName val="Admin TAKE OFF"/>
      <sheetName val="Doi so"/>
      <sheetName val="F4-F7"/>
      <sheetName val="토공"/>
      <sheetName val="CỘT + VÁCH B2-B4"/>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辽电初设_XLS_定额"/>
      <sheetName val="Msw-study"/>
      <sheetName val="BF2001"/>
      <sheetName val="شهادة الدفع"/>
      <sheetName val="Lucas1"/>
      <sheetName val="Lucas2"/>
      <sheetName val="Lucas4"/>
      <sheetName val="Lucas3"/>
      <sheetName val="ตารางส่วนลด EE."/>
      <sheetName val="FR"/>
      <sheetName val="frais VS BBI"/>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기준액"/>
      <sheetName val="최적단면"/>
      <sheetName val="Costcal"/>
      <sheetName val="1-Excavation"/>
      <sheetName val="2-Substructure"/>
      <sheetName val="3-Concrete"/>
      <sheetName val="4-Masonry"/>
      <sheetName val="5-Thermal &amp; Moisture"/>
      <sheetName val="Devco Cashflow"/>
      <sheetName val="Westin FOH &amp; BOH Split"/>
      <sheetName val="El Fenoon"/>
      <sheetName val="Cost_Any."/>
      <sheetName val="CAUSTIC"/>
      <sheetName val="12. Ins &amp; Bonds"/>
      <sheetName val="3. Staff Facilities"/>
      <sheetName val="11. Clients Requirements"/>
      <sheetName val="Legal Risk Analysis"/>
      <sheetName val=" Est "/>
      <sheetName val="GEN-TEC-02"/>
      <sheetName val="EPI Directo"/>
      <sheetName val="INSTRUCTIVO"/>
      <sheetName val="0-Datos de la Obra"/>
      <sheetName val="Gastos Generales"/>
      <sheetName val="1.1. Manpower(Data Ref)"/>
      <sheetName val="BOQ LT"/>
      <sheetName val="BP"/>
      <sheetName val="Structural BOQ"/>
      <sheetName val="Masonry &amp; Plaster"/>
      <sheetName val="2.2 STAFF Scedule"/>
      <sheetName val="Front Sheet"/>
      <sheetName val="Indirect Costs"/>
      <sheetName val="bkg"/>
      <sheetName val="cbrd460"/>
      <sheetName val="bcl"/>
      <sheetName val="ATD"/>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GFA_HQ_Building38"/>
      <sheetName val="GFA_Conference37"/>
      <sheetName val="BQ_External37"/>
      <sheetName val="Raw_Data36"/>
      <sheetName val="Penthouse_Apartment36"/>
      <sheetName val="StattCo_yCharges36"/>
      <sheetName val="@risk_rents_and_incentives36"/>
      <sheetName val="Car_park_lease36"/>
      <sheetName val="Net_rent_analysis36"/>
      <sheetName val="Poz-1_36"/>
      <sheetName val="Chiet_tinh_dz2236"/>
      <sheetName val="Chiet_tinh_dz3536"/>
      <sheetName val="LEVEL_SHEET36"/>
      <sheetName val="LABOUR_HISTOGRAM37"/>
      <sheetName val="Lab_Cum_Hist36"/>
      <sheetName val="Graph_Data_(DO_NOT_PRINT)36"/>
      <sheetName val="Body_Sheet35"/>
      <sheetName val="1_0_Executive_Summary35"/>
      <sheetName val="CT_Thang_Mo36"/>
      <sheetName val="Customize_Your_Invoice36"/>
      <sheetName val="HVAC_BoQ36"/>
      <sheetName val="Bill_No__236"/>
      <sheetName val="budget_summary_(2)35"/>
      <sheetName val="Budget_Analysis_Summary35"/>
      <sheetName val="Projet,_methodes_&amp;_couts35"/>
      <sheetName val="Risques_majeurs_&amp;_Frais_Ind_35"/>
      <sheetName val="SPT_vs_PHI36"/>
      <sheetName val="CT__PL35"/>
      <sheetName val="FOL_-_Bar36"/>
      <sheetName val="Tender_Summary36"/>
      <sheetName val="Insurance_Ext36"/>
      <sheetName val="Top_sheet35"/>
      <sheetName val="intr_stool_brkup35"/>
      <sheetName val="2_Div_14_33"/>
      <sheetName val="SHOPLIST_xls32"/>
      <sheetName val="Bill_234"/>
      <sheetName val="Ap_A33"/>
      <sheetName val="Bill_133"/>
      <sheetName val="Bill_333"/>
      <sheetName val="Bill_433"/>
      <sheetName val="Bill_533"/>
      <sheetName val="Bill_633"/>
      <sheetName val="Bill_733"/>
      <sheetName val="Invoice_Summary32"/>
      <sheetName val="beam-reinft-IIInd_floor32"/>
      <sheetName val="beam-reinft-machine_rm32"/>
      <sheetName val="PROJECT_BRIEF33"/>
      <sheetName val="C_(3)33"/>
      <sheetName val="POWER_ASSUMPTIONS32"/>
      <sheetName val="Dubai_golf32"/>
      <sheetName val="WITHOUT_C&amp;I_PROFIT_(3)31"/>
      <sheetName val="Civil_Boq31"/>
      <sheetName val="Activity_List31"/>
      <sheetName val="HIRED_LABOUR_CODE29"/>
      <sheetName val="PA-_Consutant_29"/>
      <sheetName val="foot-slab_reinft29"/>
      <sheetName val="DETAILED__BOQ29"/>
      <sheetName val="M-Book_for_Conc29"/>
      <sheetName val="M-Book_for_FW29"/>
      <sheetName val="BILL_COV29"/>
      <sheetName val="Ra__stair29"/>
      <sheetName val="Softscape_Buildup31"/>
      <sheetName val="Mat'l_Rate31"/>
      <sheetName val="VALVE_CHAMBERS28"/>
      <sheetName val="Fire_Hydrants28"/>
      <sheetName val="B_GATE_VALVE28"/>
      <sheetName val="Sub_G1_Fire28"/>
      <sheetName val="Sub_G12_Fire28"/>
      <sheetName val="Materials_Cost(PCC)28"/>
      <sheetName val="India_F&amp;S_Template28"/>
      <sheetName val="IO_LIST28"/>
      <sheetName val="Material_28"/>
      <sheetName val="Quote_Sheet28"/>
      <sheetName val="Day_work28"/>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CHART_OF_ACCOUNTS26"/>
      <sheetName val="E-Bill_No_6_A-O26"/>
      <sheetName val="Eq__Mobilization26"/>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BOQ_Direct_selling_cost27"/>
      <sheetName val="PointNo_525"/>
      <sheetName val="Elemental_Buildup25"/>
      <sheetName val="Working_for_RCC27"/>
      <sheetName val="B185-B-9_126"/>
      <sheetName val="B185-B-9_226"/>
      <sheetName val="B09_126"/>
      <sheetName val="w't_table25"/>
      <sheetName val="PMWeb_data26"/>
      <sheetName val="Chiet_t25"/>
      <sheetName val="Staffing_and_Rates_IA25"/>
      <sheetName val="Index_List25"/>
      <sheetName val="Type_List25"/>
      <sheetName val="File_Types25"/>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Material_List_25"/>
      <sheetName val="2_2)Revised_Cash_Flow25"/>
      <sheetName val="SS_MH26"/>
      <sheetName val="입찰내역_발주처_양식25"/>
      <sheetName val="LIST_DO_NOT_REMOVE24"/>
      <sheetName val="Rate_summary22"/>
      <sheetName val="Employee_List23"/>
      <sheetName val="B6_2_24"/>
      <sheetName val="Project_Cost_Breakdown23"/>
      <sheetName val="Summary_of_Work23"/>
      <sheetName val="PRECAST_lightconc-II27"/>
      <sheetName val="final_abstract27"/>
      <sheetName val="Staff_Acco_23"/>
      <sheetName val="TBAL9697_-group_wise__sdpl23"/>
      <sheetName val="SITE_WORK22"/>
      <sheetName val="Item-_Compact23"/>
      <sheetName val="E_&amp;_R23"/>
      <sheetName val="train_cash22"/>
      <sheetName val="accom_cash22"/>
      <sheetName val="INDIGINEOUS_ITEMS_22"/>
      <sheetName val="Рабочий_лист22"/>
      <sheetName val="[SHOPLIST_xls]70,/0s«iÆøí¬i23"/>
      <sheetName val="Mall_waterproofing22"/>
      <sheetName val="MSCP_waterproofing22"/>
      <sheetName val="RAB_AR&amp;STR22"/>
      <sheetName val="Annex_1_Sect_3a23"/>
      <sheetName val="Annex_1_Sect_3a_123"/>
      <sheetName val="Annex_1_Sect_3b23"/>
      <sheetName val="Annex_1_Sect_3c23"/>
      <sheetName val="HOURLY_RATES23"/>
      <sheetName val="PT_141-_Site_A_Landscape22"/>
      <sheetName val="d-safe_DELUXE22"/>
      <sheetName val="Back_up22"/>
      <sheetName val="Duct_Accesories22"/>
      <sheetName val="Common_Variables22"/>
      <sheetName val="????_???_??22"/>
      <sheetName val="Labour_&amp;_Plant22"/>
      <sheetName val="Ave_wtd_rates22"/>
      <sheetName val="Debits_as_on_12_04_0822"/>
      <sheetName val="STAFFSCHED_22"/>
      <sheetName val="TRIAL_BALANCE22"/>
      <sheetName val="Risk_Breakdown_Structure21"/>
      <sheetName val="Resumo_Empreitadas18"/>
      <sheetName val="GPL_Revenu_Update22"/>
      <sheetName val="DO_NOT_TOUCH22"/>
      <sheetName val="Work_Type22"/>
      <sheetName val="AREA_OF_APPLICATION21"/>
      <sheetName val="Equipment_Rates17"/>
      <sheetName val="1_2_Staff_Schedule18"/>
      <sheetName val="Geneí¬_i21"/>
      <sheetName val="Qtys_ZamZam_(Del__before)14"/>
      <sheetName val="Qtys_Relocation_(Del_before)14"/>
      <sheetName val="_Qtys_Sub_&amp;_Tents_(Del__befor14"/>
      <sheetName val="Qtys__Signages_(Del__before)14"/>
      <sheetName val="Qtys_Temporary_Passages_(Del)14"/>
      <sheetName val="_Qtys_Ser__Rooms_(Del_before)14"/>
      <sheetName val="PROJECT_BRIEF(EX_NEW)22"/>
      <sheetName val="PPA_Summary18"/>
      <sheetName val="Mix_Design18"/>
      <sheetName val="steel_total21"/>
      <sheetName val="ELE_BOQ21"/>
      <sheetName val="Floor_Box_19"/>
      <sheetName val="%_prog_figs_-u5_and_total18"/>
      <sheetName val="Service_Type15"/>
      <sheetName val="Contract_Division15"/>
      <sheetName val="SubContract_Type15"/>
      <sheetName val="Z-_GENERAL_PRICE_SUMMARY18"/>
      <sheetName val="Cashflow_projection17"/>
      <sheetName val="Data_I_(2)14"/>
      <sheetName val="rEFERENCES_14"/>
      <sheetName val="[SHOPLIST_xls]7017"/>
      <sheetName val="[SHOPLIST_xls]70,17"/>
      <sheetName val="Base_BM-rebar17"/>
      <sheetName val="E_H_-_H__W_P_17"/>
      <sheetName val="E__H__Treatment_for_pile_cap17"/>
      <sheetName val="[SHOPLIST_xls][SHOPLIST_xls][17"/>
      <sheetName val="Dash_board17"/>
      <sheetName val="[SHOPLIST_xls]/VW17"/>
      <sheetName val="Site_Dev_BOQ17"/>
      <sheetName val="Attach_4-1814"/>
      <sheetName val="Materials_17"/>
      <sheetName val="Area_Breakdown_PER_LEVEL_LINK17"/>
      <sheetName val="Cost_Heading14"/>
      <sheetName val="D_&amp;_W_sizes14"/>
      <sheetName val="SOPMA_DD14"/>
      <sheetName val="BOQ_(2)8"/>
      <sheetName val="LABOUR_RATE8"/>
      <sheetName val="Material_Rate8"/>
      <sheetName val="Labor_abs-PW8"/>
      <sheetName val="Labor_abs-NMR8"/>
      <sheetName val="Form_617"/>
      <sheetName val="Combined_Results_8"/>
      <sheetName val="P-100_MRF_DB_R114"/>
      <sheetName val="[SHOPLIST_xls]70,/0s«_iÆø_í¬_17"/>
      <sheetName val="[SHOPLIST_xls]70?,/0?s«i?Æøí¬17"/>
      <sheetName val="CF_Input17"/>
      <sheetName val="DATA_INPUT17"/>
      <sheetName val="Vordruck-Nr__7_1_3_D17"/>
      <sheetName val="M&amp;A_D17"/>
      <sheetName val="M&amp;A_E17"/>
      <sheetName val="M&amp;A_G17"/>
      <sheetName val="Labour_Costs17"/>
      <sheetName val="Data_Sheet17"/>
      <sheetName val="BLOCK-A_(MEA_SHEET)17"/>
      <sheetName val="tender_allowances17"/>
      <sheetName val="_Summary_BKG_03417"/>
      <sheetName val="BILL_3R17"/>
      <sheetName val="Ewaan_Show_Kitchen_(2)14"/>
      <sheetName val="Cash_Flow_Working14"/>
      <sheetName val="2F_회의실견적(5_14_일대)10"/>
      <sheetName val="_HIT-&gt;HMC_견적(3900)10"/>
      <sheetName val="Appendix_B10"/>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Bill_1017"/>
      <sheetName val="MN_T_B_14"/>
      <sheetName val="PRICE_INFO14"/>
      <sheetName val="RC_SUMMARY14"/>
      <sheetName val="LABOUR_PRODUCTIVITY-TAV14"/>
      <sheetName val="MATERIAL_PRICES14"/>
      <sheetName val="kppl_pl8"/>
      <sheetName val="Basic_Rates8"/>
      <sheetName val="Labour_Rate_14"/>
      <sheetName val="Div_07_Thermal_&amp;_Moisture8"/>
      <sheetName val="Data_Validation8"/>
      <sheetName val="Div26_-_Elect8"/>
      <sheetName val="CHUNG_CU_CARRILON8"/>
      <sheetName val="precast_RC_element8"/>
      <sheetName val="pile_Fabrication8"/>
      <sheetName val="[SHOPLIST_xls][SHOPLIST_xls]/V6"/>
      <sheetName val="[SHOPLIST_xls]70,/0s«_iÆø_í¬3"/>
      <sheetName val="[SHOPLIST_xls]70,/0s«iÆøí¬i24"/>
      <sheetName val="[SHOPLIST_xls]70,/0s«iÆøí¬i33"/>
      <sheetName val="[SHOPLIST_xls]70___0_s__i____17"/>
      <sheetName val="[SHOPLIST_xls]_VW__VU________12"/>
      <sheetName val="[SHOPLIST_xls]70___0_s__i____18"/>
      <sheetName val="[SHOPLIST_xls]_VW__VU________13"/>
      <sheetName val="[SHOPLIST_xls]70___0_s__i____19"/>
      <sheetName val="[SHOPLIST_xls]70_x005f_x0000___0_x0_7"/>
      <sheetName val="[SHOPLIST_xls]70___0_s__i____20"/>
      <sheetName val="[SHOPLIST_xls]_VW__VU________14"/>
      <sheetName val="[SHOPLIST_xls]70___0_s__i____21"/>
      <sheetName val="[SHOPLIST_xls]_VW__VU________15"/>
      <sheetName val="[SHOPLIST_xls]70___0_s__i____22"/>
      <sheetName val="[SHOPLIST_xls]70_x005f_x0000___0_x0_8"/>
      <sheetName val="[SHOPLIST_xls]70___0_s__i____23"/>
      <sheetName val="[SHOPLIST_xls]_VW__VU________16"/>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Materials_Cost"/>
      <sheetName val="[SHOPLIST_xls]70,/0s«iÆøí¬i41"/>
      <sheetName val="[SHOPLIST_xls]70,/0s«iÆøí¬i51"/>
      <sheetName val="Rectangular_Duct"/>
      <sheetName val="Cost_Heaࡤing"/>
      <sheetName val="bill_no__3"/>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4"/>
      <sheetName val="[SHOPLIST_xls]_VW__VU________17"/>
      <sheetName val="[SHOPLIST_xls]70___0_s__i____25"/>
      <sheetName val="[SHOPLIST_xls]70_x005f_x0000___0_x0_9"/>
      <sheetName val="[SHOPLIST_xls]70___0_s__i____26"/>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Unit_cost-_Drain-Protection-1_"/>
      <sheetName val="Unit_cost-_Drain-Protection-2"/>
      <sheetName val="HO_Costs"/>
      <sheetName val="[SHOPLIST_xls]70,/0s�i����i"/>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Matl"/>
      <sheetName val="PASARELA"/>
      <sheetName val="h-013211-2"/>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_SHOPLIST_xl_1436"/>
      <sheetName val="[SHOPLIST.xls]_SHOPLIST_xl_1437"/>
      <sheetName val="[SHOPLIST.xls]_SHOPLIST_xl_1438"/>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VWVU))tÏØ0__61"/>
      <sheetName val="[SHOPLIST.xls]/VWVU))tÏØ0__71"/>
      <sheetName val="[SHOPLIST.xls]/VWVU))tÏØ0__55"/>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70,/0s«iÆøí¬i16"/>
      <sheetName val="[SHOPLIST.xls]/VW11"/>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B100-Cable Rack"/>
      <sheetName val="PCSum"/>
      <sheetName val="OSM"/>
      <sheetName val="4300 UTILITY BLDG (2)"/>
      <sheetName val="Dropdown Attributes"/>
      <sheetName val="DCF_5"/>
      <sheetName val="US Ship Repair Industry Growth"/>
      <sheetName val="Market Overview"/>
      <sheetName val="US Shipyard Repair Output"/>
      <sheetName val="Charts"/>
      <sheetName val="LBO"/>
      <sheetName val="Summary Financials"/>
      <sheetName val="Dropdown Lists"/>
      <sheetName val="MPC"/>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RBD_ENG"/>
      <sheetName val="RBD_SLD_RLD"/>
      <sheetName val="V_Summary"/>
      <sheetName val="Product_Sheet40"/>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calcul"/>
      <sheetName val="eval"/>
      <sheetName val="sc"/>
      <sheetName val="Attachment 1"/>
      <sheetName val="foot-slab_rein_x000c__x0002_"/>
      <sheetName val="PROGRAM"/>
      <sheetName val="Staffing Plan"/>
      <sheetName val="Sales &amp; Prod"/>
      <sheetName val="HAKEDİŞ_"/>
      <sheetName val="keşif_özeti"/>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7"/>
      <sheetName val="Свод_(Бюджет)"/>
      <sheetName val="Свод_(понедельно)"/>
      <sheetName val="Статьи_расходов"/>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_SHOPLIST_xl_1857"/>
      <sheetName val="[SHOPLIST.xls]_SHOPLIST_xl_1858"/>
      <sheetName val="[SHOPLIST.xls]_SHOPLIST_xl_1859"/>
      <sheetName val="[SHOPLIST.xls]_SHOPLIST_xl_1860"/>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EST"/>
      <sheetName val="IPL_SCHEDULE"/>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ConferenceCentre______________2"/>
      <sheetName val="[SHOPLIST_xls][SHOPLIST_xls]/V7"/>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3E1_GCR"/>
      <sheetName val="1. Scenario Manager"/>
      <sheetName val="Cost_Summary"/>
      <sheetName val="Cost_Summary_SD"/>
      <sheetName val="Schedule_S-Curve_Revision#3"/>
      <sheetName val="2_223M_due_to_adj_profit"/>
      <sheetName val="_SHOPLIST_xls__SH1"/>
      <sheetName val="_SHOPLIST_xls_70_1"/>
      <sheetName val="_x005f_x005f_x005f_x0000__x005f_x005f_x005f_x0000__x005"/>
      <sheetName val="Gra¦_x005f_x0004_)_x005f_x0000__x005f_x0000__x0"/>
      <sheetName val="_VW_x005f_x0000_VU_x005f_x0000_)_x005f_x0000__x"/>
      <sheetName val="Gra¦_x005f_x0004_)"/>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Total  Amount"/>
      <sheetName val="DVM_Sizing_Calculator-_10_ips_"/>
      <sheetName val="[SHOPLIST_xls]70___0_s__i____28"/>
      <sheetName val="footing_for_SP"/>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PMP"/>
      <sheetName val="Abstract-2"/>
      <sheetName val="Shor &amp; Shuter"/>
      <sheetName val="Assmpns"/>
      <sheetName val="nVision"/>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Income_Statement1"/>
      <sheetName val="BT3-Package_05"/>
      <sheetName val="Schedules_PL"/>
      <sheetName val="Schedules_BS"/>
      <sheetName val="Summary-margin_calc"/>
      <sheetName val="pri-com"/>
      <sheetName val="Detail In Door Stad"/>
      <sheetName val="8. Cover"/>
      <sheetName val="Qty_SR"/>
      <sheetName val="EW_SR"/>
      <sheetName val="CRUDE-D"/>
      <sheetName val="POSTLPG"/>
      <sheetName val="S'PORE-D"/>
      <sheetName val="POSTF1"/>
      <sheetName val="POSTHD1"/>
      <sheetName val="PO97(02)"/>
      <sheetName val="[SHOPLIST_xls]/VW3"/>
      <sheetName val="P-Ins_&amp;_Bonds4"/>
      <sheetName val="Admin_TAKE_OFF1"/>
      <sheetName val="Admin_TAKE_OFF"/>
      <sheetName val="[SHOPLIST_xls]/VW2"/>
      <sheetName val="P-Ins_&amp;_Bonds3"/>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AOR"/>
      <sheetName val="SGOLD FEB"/>
      <sheetName val="VC2 8.98"/>
      <sheetName val="DESCRIPTIONS"/>
      <sheetName val="Geneí¬_x005f_x0008_i??_x005f_x0014_?0."/>
      <sheetName val="BoatTMP"/>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2_0_Cover_Sum"/>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Slide 6 - Returns &amp; NWC"/>
      <sheetName val="Section(0)Preliminaries"/>
      <sheetName val="Section(1)Demolition"/>
      <sheetName val="Section(2)Exca "/>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
      <sheetName val="[SHOPLIST.xls]70?,/0?s«i_x"/>
      <sheetName val="[SHOPLIST.xls]70,/0"/>
      <sheetName val="PE-F-42 Rev 01 Manpower"/>
      <sheetName val="Advance_Recovery"/>
      <sheetName val="SC_Cost_FEB_03"/>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Goc_CC"/>
      <sheetName val="Room_Type"/>
      <sheetName val="Basement2_DB"/>
      <sheetName val="_SHOPLIST_xls__VWVU))tÏØ0_101"/>
      <sheetName val="_SHOPLIST_xls__VWVU))tÏØ0_102"/>
      <sheetName val="_SHOPLIST_xls__VWVU))tÏØ0_103"/>
      <sheetName val="Macro_custom_function"/>
      <sheetName val="_N_Finansal_Eğri"/>
      <sheetName val="Admin"/>
      <sheetName val="Prior_CM"/>
      <sheetName val="MixBed"/>
      <sheetName val="S3 Architectural"/>
      <sheetName val="OLD PRICES"/>
      <sheetName val="CCTV_EST1"/>
      <sheetName val="bill02"/>
      <sheetName val="JOB COSTING SHEET HVAC"/>
      <sheetName val="SUBCON OR OTHER"/>
      <sheetName val="CASH"/>
      <sheetName val="SSuppliers"/>
      <sheetName val="Price"/>
      <sheetName val="Bill 3 - Site Works"/>
      <sheetName val=" Factor  "/>
      <sheetName val="Histry Price"/>
      <sheetName val="ANALISYS"/>
      <sheetName val="mat."/>
      <sheetName val="SECTION 10-TSE"/>
      <sheetName val="No-edi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ow r="9">
          <cell r="A9" t="str">
            <v>A</v>
          </cell>
        </row>
      </sheetData>
      <sheetData sheetId="462" refreshError="1"/>
      <sheetData sheetId="463" refreshError="1"/>
      <sheetData sheetId="464" refreshError="1"/>
      <sheetData sheetId="465"/>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sheetData sheetId="486"/>
      <sheetData sheetId="487"/>
      <sheetData sheetId="488">
        <row r="9">
          <cell r="A9" t="str">
            <v>A</v>
          </cell>
        </row>
      </sheetData>
      <sheetData sheetId="489"/>
      <sheetData sheetId="490"/>
      <sheetData sheetId="491">
        <row r="9">
          <cell r="A9" t="str">
            <v>A</v>
          </cell>
        </row>
      </sheetData>
      <sheetData sheetId="492">
        <row r="9">
          <cell r="A9" t="str">
            <v>A</v>
          </cell>
        </row>
      </sheetData>
      <sheetData sheetId="493">
        <row r="9">
          <cell r="A9" t="str">
            <v>A</v>
          </cell>
        </row>
      </sheetData>
      <sheetData sheetId="494"/>
      <sheetData sheetId="495">
        <row r="9">
          <cell r="A9" t="str">
            <v>A</v>
          </cell>
        </row>
      </sheetData>
      <sheetData sheetId="496">
        <row r="9">
          <cell r="A9" t="str">
            <v>A</v>
          </cell>
        </row>
      </sheetData>
      <sheetData sheetId="497">
        <row r="9">
          <cell r="A9" t="str">
            <v>A</v>
          </cell>
        </row>
      </sheetData>
      <sheetData sheetId="498">
        <row r="9">
          <cell r="A9" t="str">
            <v>A</v>
          </cell>
        </row>
      </sheetData>
      <sheetData sheetId="499">
        <row r="9">
          <cell r="A9" t="str">
            <v>A</v>
          </cell>
        </row>
      </sheetData>
      <sheetData sheetId="500"/>
      <sheetData sheetId="501"/>
      <sheetData sheetId="502"/>
      <sheetData sheetId="503"/>
      <sheetData sheetId="504">
        <row r="9">
          <cell r="A9" t="str">
            <v>A</v>
          </cell>
        </row>
      </sheetData>
      <sheetData sheetId="505"/>
      <sheetData sheetId="506"/>
      <sheetData sheetId="507">
        <row r="9">
          <cell r="A9" t="str">
            <v>A</v>
          </cell>
        </row>
      </sheetData>
      <sheetData sheetId="508">
        <row r="9">
          <cell r="A9" t="str">
            <v>A</v>
          </cell>
        </row>
      </sheetData>
      <sheetData sheetId="509">
        <row r="9">
          <cell r="A9" t="str">
            <v>A</v>
          </cell>
        </row>
      </sheetData>
      <sheetData sheetId="510">
        <row r="9">
          <cell r="A9" t="str">
            <v>A</v>
          </cell>
        </row>
      </sheetData>
      <sheetData sheetId="511">
        <row r="9">
          <cell r="A9" t="str">
            <v>A</v>
          </cell>
        </row>
      </sheetData>
      <sheetData sheetId="512"/>
      <sheetData sheetId="513"/>
      <sheetData sheetId="514"/>
      <sheetData sheetId="515"/>
      <sheetData sheetId="516"/>
      <sheetData sheetId="517"/>
      <sheetData sheetId="518">
        <row r="9">
          <cell r="A9" t="str">
            <v>A</v>
          </cell>
        </row>
      </sheetData>
      <sheetData sheetId="519">
        <row r="9">
          <cell r="A9" t="str">
            <v>A</v>
          </cell>
        </row>
      </sheetData>
      <sheetData sheetId="520"/>
      <sheetData sheetId="521"/>
      <sheetData sheetId="522">
        <row r="9">
          <cell r="A9" t="str">
            <v>A</v>
          </cell>
        </row>
      </sheetData>
      <sheetData sheetId="523"/>
      <sheetData sheetId="524"/>
      <sheetData sheetId="525"/>
      <sheetData sheetId="526"/>
      <sheetData sheetId="527"/>
      <sheetData sheetId="528"/>
      <sheetData sheetId="529"/>
      <sheetData sheetId="530"/>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sheetData sheetId="552"/>
      <sheetData sheetId="553"/>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efreshError="1"/>
      <sheetData sheetId="559">
        <row r="9">
          <cell r="A9" t="str">
            <v>A</v>
          </cell>
        </row>
      </sheetData>
      <sheetData sheetId="560">
        <row r="9">
          <cell r="A9" t="str">
            <v>A</v>
          </cell>
        </row>
      </sheetData>
      <sheetData sheetId="561">
        <row r="9">
          <cell r="A9" t="str">
            <v>A</v>
          </cell>
        </row>
      </sheetData>
      <sheetData sheetId="562" refreshError="1"/>
      <sheetData sheetId="563">
        <row r="9">
          <cell r="A9" t="str">
            <v>A</v>
          </cell>
        </row>
      </sheetData>
      <sheetData sheetId="564">
        <row r="9">
          <cell r="A9" t="str">
            <v>A</v>
          </cell>
        </row>
      </sheetData>
      <sheetData sheetId="565">
        <row r="9">
          <cell r="A9" t="str">
            <v>A</v>
          </cell>
        </row>
      </sheetData>
      <sheetData sheetId="566"/>
      <sheetData sheetId="567"/>
      <sheetData sheetId="568"/>
      <sheetData sheetId="569"/>
      <sheetData sheetId="570">
        <row r="9">
          <cell r="A9" t="str">
            <v>A</v>
          </cell>
        </row>
      </sheetData>
      <sheetData sheetId="571">
        <row r="9">
          <cell r="A9" t="str">
            <v>A</v>
          </cell>
        </row>
      </sheetData>
      <sheetData sheetId="572"/>
      <sheetData sheetId="573"/>
      <sheetData sheetId="574">
        <row r="9">
          <cell r="A9" t="str">
            <v>A</v>
          </cell>
        </row>
      </sheetData>
      <sheetData sheetId="575"/>
      <sheetData sheetId="576"/>
      <sheetData sheetId="577"/>
      <sheetData sheetId="578"/>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sheetData sheetId="591">
        <row r="9">
          <cell r="A9" t="str">
            <v>A</v>
          </cell>
        </row>
      </sheetData>
      <sheetData sheetId="592"/>
      <sheetData sheetId="593"/>
      <sheetData sheetId="594"/>
      <sheetData sheetId="595">
        <row r="9">
          <cell r="A9" t="str">
            <v>A</v>
          </cell>
        </row>
      </sheetData>
      <sheetData sheetId="596">
        <row r="9">
          <cell r="A9" t="str">
            <v>A</v>
          </cell>
        </row>
      </sheetData>
      <sheetData sheetId="597"/>
      <sheetData sheetId="598"/>
      <sheetData sheetId="599">
        <row r="9">
          <cell r="A9" t="str">
            <v>A</v>
          </cell>
        </row>
      </sheetData>
      <sheetData sheetId="600"/>
      <sheetData sheetId="601">
        <row r="9">
          <cell r="A9" t="str">
            <v>A</v>
          </cell>
        </row>
      </sheetData>
      <sheetData sheetId="602">
        <row r="9">
          <cell r="A9" t="str">
            <v>A</v>
          </cell>
        </row>
      </sheetData>
      <sheetData sheetId="603"/>
      <sheetData sheetId="604"/>
      <sheetData sheetId="605">
        <row r="9">
          <cell r="A9" t="str">
            <v>A</v>
          </cell>
        </row>
      </sheetData>
      <sheetData sheetId="606"/>
      <sheetData sheetId="607" refreshError="1"/>
      <sheetData sheetId="608" refreshError="1"/>
      <sheetData sheetId="609"/>
      <sheetData sheetId="610"/>
      <sheetData sheetId="611"/>
      <sheetData sheetId="612" refreshError="1"/>
      <sheetData sheetId="613" refreshError="1"/>
      <sheetData sheetId="614" refreshError="1"/>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sheetData sheetId="652"/>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ow r="9">
          <cell r="A9" t="str">
            <v>A</v>
          </cell>
        </row>
      </sheetData>
      <sheetData sheetId="784">
        <row r="9">
          <cell r="A9" t="str">
            <v>A</v>
          </cell>
        </row>
      </sheetData>
      <sheetData sheetId="785">
        <row r="9">
          <cell r="A9" t="str">
            <v>A</v>
          </cell>
        </row>
      </sheetData>
      <sheetData sheetId="786">
        <row r="9">
          <cell r="A9" t="str">
            <v>A</v>
          </cell>
        </row>
      </sheetData>
      <sheetData sheetId="787">
        <row r="9">
          <cell r="A9" t="str">
            <v>A</v>
          </cell>
        </row>
      </sheetData>
      <sheetData sheetId="788">
        <row r="9">
          <cell r="A9" t="str">
            <v>A</v>
          </cell>
        </row>
      </sheetData>
      <sheetData sheetId="789">
        <row r="9">
          <cell r="A9" t="str">
            <v>A</v>
          </cell>
        </row>
      </sheetData>
      <sheetData sheetId="790">
        <row r="9">
          <cell r="A9" t="str">
            <v>A</v>
          </cell>
        </row>
      </sheetData>
      <sheetData sheetId="791">
        <row r="9">
          <cell r="A9" t="str">
            <v>A</v>
          </cell>
        </row>
      </sheetData>
      <sheetData sheetId="792">
        <row r="9">
          <cell r="A9" t="str">
            <v>A</v>
          </cell>
        </row>
      </sheetData>
      <sheetData sheetId="793">
        <row r="9">
          <cell r="A9" t="str">
            <v>A</v>
          </cell>
        </row>
      </sheetData>
      <sheetData sheetId="794">
        <row r="9">
          <cell r="A9" t="str">
            <v>A</v>
          </cell>
        </row>
      </sheetData>
      <sheetData sheetId="795">
        <row r="9">
          <cell r="A9" t="str">
            <v>A</v>
          </cell>
        </row>
      </sheetData>
      <sheetData sheetId="796">
        <row r="9">
          <cell r="A9" t="str">
            <v>A</v>
          </cell>
        </row>
      </sheetData>
      <sheetData sheetId="797">
        <row r="9">
          <cell r="A9" t="str">
            <v>A</v>
          </cell>
        </row>
      </sheetData>
      <sheetData sheetId="798">
        <row r="9">
          <cell r="A9" t="str">
            <v>A</v>
          </cell>
        </row>
      </sheetData>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ow r="9">
          <cell r="A9" t="str">
            <v>A</v>
          </cell>
        </row>
      </sheetData>
      <sheetData sheetId="808">
        <row r="9">
          <cell r="A9" t="str">
            <v>A</v>
          </cell>
        </row>
      </sheetData>
      <sheetData sheetId="809">
        <row r="9">
          <cell r="A9" t="str">
            <v>A</v>
          </cell>
        </row>
      </sheetData>
      <sheetData sheetId="810">
        <row r="9">
          <cell r="A9" t="str">
            <v>A</v>
          </cell>
        </row>
      </sheetData>
      <sheetData sheetId="811"/>
      <sheetData sheetId="812"/>
      <sheetData sheetId="813">
        <row r="9">
          <cell r="A9" t="str">
            <v>A</v>
          </cell>
        </row>
      </sheetData>
      <sheetData sheetId="814">
        <row r="9">
          <cell r="A9" t="str">
            <v>A</v>
          </cell>
        </row>
      </sheetData>
      <sheetData sheetId="815">
        <row r="9">
          <cell r="A9" t="str">
            <v>A</v>
          </cell>
        </row>
      </sheetData>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row r="9">
          <cell r="A9" t="str">
            <v>A</v>
          </cell>
        </row>
      </sheetData>
      <sheetData sheetId="851"/>
      <sheetData sheetId="852" refreshError="1"/>
      <sheetData sheetId="853" refreshError="1"/>
      <sheetData sheetId="854" refreshError="1"/>
      <sheetData sheetId="855" refreshError="1"/>
      <sheetData sheetId="856" refreshError="1"/>
      <sheetData sheetId="857"/>
      <sheetData sheetId="858"/>
      <sheetData sheetId="859"/>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efreshError="1"/>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efreshError="1"/>
      <sheetData sheetId="986">
        <row r="9">
          <cell r="A9" t="str">
            <v>A</v>
          </cell>
        </row>
      </sheetData>
      <sheetData sheetId="987">
        <row r="9">
          <cell r="A9" t="str">
            <v>A</v>
          </cell>
        </row>
      </sheetData>
      <sheetData sheetId="988">
        <row r="9">
          <cell r="A9" t="str">
            <v>A</v>
          </cell>
        </row>
      </sheetData>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row r="9">
          <cell r="A9" t="str">
            <v>A</v>
          </cell>
        </row>
      </sheetData>
      <sheetData sheetId="1110">
        <row r="9">
          <cell r="A9" t="str">
            <v>A</v>
          </cell>
        </row>
      </sheetData>
      <sheetData sheetId="1111">
        <row r="9">
          <cell r="A9" t="str">
            <v>A</v>
          </cell>
        </row>
      </sheetData>
      <sheetData sheetId="1112"/>
      <sheetData sheetId="1113" refreshError="1"/>
      <sheetData sheetId="1114" refreshError="1"/>
      <sheetData sheetId="1115" refreshError="1"/>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sheetData sheetId="1121"/>
      <sheetData sheetId="1122"/>
      <sheetData sheetId="1123"/>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sheetData sheetId="1129"/>
      <sheetData sheetId="1130"/>
      <sheetData sheetId="1131"/>
      <sheetData sheetId="1132">
        <row r="9">
          <cell r="A9" t="str">
            <v>A</v>
          </cell>
        </row>
      </sheetData>
      <sheetData sheetId="1133">
        <row r="9">
          <cell r="A9" t="str">
            <v>A</v>
          </cell>
        </row>
      </sheetData>
      <sheetData sheetId="1134"/>
      <sheetData sheetId="1135"/>
      <sheetData sheetId="1136"/>
      <sheetData sheetId="1137"/>
      <sheetData sheetId="1138"/>
      <sheetData sheetId="1139" refreshError="1"/>
      <sheetData sheetId="1140" refreshError="1"/>
      <sheetData sheetId="1141" refreshError="1"/>
      <sheetData sheetId="1142" refreshError="1"/>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row r="9">
          <cell r="A9" t="str">
            <v>A</v>
          </cell>
        </row>
      </sheetData>
      <sheetData sheetId="1349">
        <row r="9">
          <cell r="A9" t="str">
            <v>A</v>
          </cell>
        </row>
      </sheetData>
      <sheetData sheetId="1350">
        <row r="9">
          <cell r="A9" t="str">
            <v>A</v>
          </cell>
        </row>
      </sheetData>
      <sheetData sheetId="1351">
        <row r="9">
          <cell r="A9" t="str">
            <v>A</v>
          </cell>
        </row>
      </sheetData>
      <sheetData sheetId="1352">
        <row r="9">
          <cell r="A9" t="str">
            <v>A</v>
          </cell>
        </row>
      </sheetData>
      <sheetData sheetId="1353">
        <row r="9">
          <cell r="A9" t="str">
            <v>A</v>
          </cell>
        </row>
      </sheetData>
      <sheetData sheetId="1354">
        <row r="9">
          <cell r="A9" t="str">
            <v>A</v>
          </cell>
        </row>
      </sheetData>
      <sheetData sheetId="1355"/>
      <sheetData sheetId="1356"/>
      <sheetData sheetId="1357"/>
      <sheetData sheetId="1358"/>
      <sheetData sheetId="1359"/>
      <sheetData sheetId="1360"/>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ow r="9">
          <cell r="A9" t="str">
            <v>A</v>
          </cell>
        </row>
      </sheetData>
      <sheetData sheetId="1366">
        <row r="9">
          <cell r="A9" t="str">
            <v>A</v>
          </cell>
        </row>
      </sheetData>
      <sheetData sheetId="1367"/>
      <sheetData sheetId="1368"/>
      <sheetData sheetId="1369"/>
      <sheetData sheetId="1370"/>
      <sheetData sheetId="1371"/>
      <sheetData sheetId="1372"/>
      <sheetData sheetId="1373"/>
      <sheetData sheetId="1374" refreshError="1"/>
      <sheetData sheetId="1375" refreshError="1"/>
      <sheetData sheetId="1376">
        <row r="9">
          <cell r="A9" t="str">
            <v>A</v>
          </cell>
        </row>
      </sheetData>
      <sheetData sheetId="1377">
        <row r="9">
          <cell r="A9" t="str">
            <v>A</v>
          </cell>
        </row>
      </sheetData>
      <sheetData sheetId="1378">
        <row r="9">
          <cell r="A9" t="str">
            <v>A</v>
          </cell>
        </row>
      </sheetData>
      <sheetData sheetId="1379">
        <row r="9">
          <cell r="A9" t="str">
            <v>A</v>
          </cell>
        </row>
      </sheetData>
      <sheetData sheetId="1380"/>
      <sheetData sheetId="1381"/>
      <sheetData sheetId="1382"/>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9">
          <cell r="A9" t="str">
            <v>A</v>
          </cell>
        </row>
      </sheetData>
      <sheetData sheetId="1415" refreshError="1"/>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efreshError="1"/>
      <sheetData sheetId="1421" refreshError="1"/>
      <sheetData sheetId="1422">
        <row r="9">
          <cell r="A9" t="str">
            <v>A</v>
          </cell>
        </row>
      </sheetData>
      <sheetData sheetId="1423" refreshError="1"/>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row r="9">
          <cell r="A9" t="str">
            <v>A</v>
          </cell>
        </row>
      </sheetData>
      <sheetData sheetId="1727">
        <row r="9">
          <cell r="A9" t="str">
            <v>A</v>
          </cell>
        </row>
      </sheetData>
      <sheetData sheetId="1728">
        <row r="9">
          <cell r="A9" t="str">
            <v>A</v>
          </cell>
        </row>
      </sheetData>
      <sheetData sheetId="1729">
        <row r="9">
          <cell r="A9" t="str">
            <v>A</v>
          </cell>
        </row>
      </sheetData>
      <sheetData sheetId="1730">
        <row r="9">
          <cell r="A9" t="str">
            <v>A</v>
          </cell>
        </row>
      </sheetData>
      <sheetData sheetId="1731">
        <row r="9">
          <cell r="A9" t="str">
            <v>A</v>
          </cell>
        </row>
      </sheetData>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ow r="9">
          <cell r="A9" t="str">
            <v>A</v>
          </cell>
        </row>
      </sheetData>
      <sheetData sheetId="1738">
        <row r="9">
          <cell r="A9" t="str">
            <v>A</v>
          </cell>
        </row>
      </sheetData>
      <sheetData sheetId="1739">
        <row r="9">
          <cell r="A9" t="str">
            <v>A</v>
          </cell>
        </row>
      </sheetData>
      <sheetData sheetId="1740">
        <row r="9">
          <cell r="A9" t="str">
            <v>A</v>
          </cell>
        </row>
      </sheetData>
      <sheetData sheetId="1741">
        <row r="9">
          <cell r="A9" t="str">
            <v>A</v>
          </cell>
        </row>
      </sheetData>
      <sheetData sheetId="1742">
        <row r="9">
          <cell r="A9" t="str">
            <v>A</v>
          </cell>
        </row>
      </sheetData>
      <sheetData sheetId="1743">
        <row r="9">
          <cell r="A9" t="str">
            <v>A</v>
          </cell>
        </row>
      </sheetData>
      <sheetData sheetId="1744">
        <row r="9">
          <cell r="A9" t="str">
            <v>A</v>
          </cell>
        </row>
      </sheetData>
      <sheetData sheetId="1745">
        <row r="9">
          <cell r="A9" t="str">
            <v>A</v>
          </cell>
        </row>
      </sheetData>
      <sheetData sheetId="1746">
        <row r="9">
          <cell r="A9" t="str">
            <v>A</v>
          </cell>
        </row>
      </sheetData>
      <sheetData sheetId="1747">
        <row r="9">
          <cell r="A9" t="str">
            <v>A</v>
          </cell>
        </row>
      </sheetData>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ow r="9">
          <cell r="A9" t="str">
            <v>A</v>
          </cell>
        </row>
      </sheetData>
      <sheetData sheetId="1760" refreshError="1"/>
      <sheetData sheetId="1761" refreshError="1"/>
      <sheetData sheetId="1762" refreshError="1"/>
      <sheetData sheetId="1763" refreshError="1"/>
      <sheetData sheetId="1764" refreshError="1"/>
      <sheetData sheetId="1765" refreshError="1"/>
      <sheetData sheetId="1766" refreshError="1"/>
      <sheetData sheetId="1767"/>
      <sheetData sheetId="1768"/>
      <sheetData sheetId="1769" refreshError="1"/>
      <sheetData sheetId="1770" refreshError="1"/>
      <sheetData sheetId="1771" refreshError="1"/>
      <sheetData sheetId="1772"/>
      <sheetData sheetId="1773"/>
      <sheetData sheetId="1774">
        <row r="9">
          <cell r="A9" t="str">
            <v>A</v>
          </cell>
        </row>
      </sheetData>
      <sheetData sheetId="1775"/>
      <sheetData sheetId="1776" refreshError="1"/>
      <sheetData sheetId="1777" refreshError="1"/>
      <sheetData sheetId="1778" refreshError="1"/>
      <sheetData sheetId="1779" refreshError="1"/>
      <sheetData sheetId="1780" refreshError="1"/>
      <sheetData sheetId="1781"/>
      <sheetData sheetId="1782" refreshError="1"/>
      <sheetData sheetId="1783" refreshError="1"/>
      <sheetData sheetId="1784" refreshError="1"/>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sheetData sheetId="1796"/>
      <sheetData sheetId="1797"/>
      <sheetData sheetId="1798"/>
      <sheetData sheetId="1799"/>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ow r="9">
          <cell r="A9" t="str">
            <v>A</v>
          </cell>
        </row>
      </sheetData>
      <sheetData sheetId="1919">
        <row r="9">
          <cell r="A9" t="str">
            <v>A</v>
          </cell>
        </row>
      </sheetData>
      <sheetData sheetId="1920">
        <row r="9">
          <cell r="A9" t="str">
            <v>A</v>
          </cell>
        </row>
      </sheetData>
      <sheetData sheetId="1921">
        <row r="9">
          <cell r="A9" t="str">
            <v>A</v>
          </cell>
        </row>
      </sheetData>
      <sheetData sheetId="1922">
        <row r="9">
          <cell r="A9" t="str">
            <v>A</v>
          </cell>
        </row>
      </sheetData>
      <sheetData sheetId="1923">
        <row r="9">
          <cell r="A9" t="str">
            <v>A</v>
          </cell>
        </row>
      </sheetData>
      <sheetData sheetId="1924">
        <row r="9">
          <cell r="A9" t="str">
            <v>A</v>
          </cell>
        </row>
      </sheetData>
      <sheetData sheetId="1925">
        <row r="9">
          <cell r="A9" t="str">
            <v>A</v>
          </cell>
        </row>
      </sheetData>
      <sheetData sheetId="1926">
        <row r="9">
          <cell r="A9" t="str">
            <v>A</v>
          </cell>
        </row>
      </sheetData>
      <sheetData sheetId="1927">
        <row r="9">
          <cell r="A9" t="str">
            <v>A</v>
          </cell>
        </row>
      </sheetData>
      <sheetData sheetId="1928">
        <row r="9">
          <cell r="A9" t="str">
            <v>A</v>
          </cell>
        </row>
      </sheetData>
      <sheetData sheetId="1929">
        <row r="9">
          <cell r="A9" t="str">
            <v>A</v>
          </cell>
        </row>
      </sheetData>
      <sheetData sheetId="1930" refreshError="1"/>
      <sheetData sheetId="1931" refreshError="1"/>
      <sheetData sheetId="1932" refreshError="1"/>
      <sheetData sheetId="1933" refreshError="1"/>
      <sheetData sheetId="1934" refreshError="1"/>
      <sheetData sheetId="1935">
        <row r="9">
          <cell r="A9" t="str">
            <v>A</v>
          </cell>
        </row>
      </sheetData>
      <sheetData sheetId="1936">
        <row r="9">
          <cell r="A9" t="str">
            <v>A</v>
          </cell>
        </row>
      </sheetData>
      <sheetData sheetId="1937"/>
      <sheetData sheetId="1938" refreshError="1"/>
      <sheetData sheetId="1939" refreshError="1"/>
      <sheetData sheetId="1940"/>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sheetData sheetId="1954" refreshError="1"/>
      <sheetData sheetId="1955" refreshError="1"/>
      <sheetData sheetId="1956"/>
      <sheetData sheetId="1957" refreshError="1"/>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sheetData sheetId="1980"/>
      <sheetData sheetId="1981"/>
      <sheetData sheetId="1982"/>
      <sheetData sheetId="1983">
        <row r="9">
          <cell r="A9" t="str">
            <v>A</v>
          </cell>
        </row>
      </sheetData>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sheetData sheetId="2010"/>
      <sheetData sheetId="2011">
        <row r="9">
          <cell r="A9" t="str">
            <v>A</v>
          </cell>
        </row>
      </sheetData>
      <sheetData sheetId="2012">
        <row r="9">
          <cell r="A9" t="str">
            <v>A</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ow r="9">
          <cell r="A9" t="str">
            <v>A</v>
          </cell>
        </row>
      </sheetData>
      <sheetData sheetId="2038">
        <row r="9">
          <cell r="A9" t="str">
            <v>A</v>
          </cell>
        </row>
      </sheetData>
      <sheetData sheetId="2039">
        <row r="9">
          <cell r="A9" t="str">
            <v>A</v>
          </cell>
        </row>
      </sheetData>
      <sheetData sheetId="2040">
        <row r="9">
          <cell r="A9" t="str">
            <v>A</v>
          </cell>
        </row>
      </sheetData>
      <sheetData sheetId="2041">
        <row r="9">
          <cell r="A9" t="str">
            <v>A</v>
          </cell>
        </row>
      </sheetData>
      <sheetData sheetId="2042">
        <row r="9">
          <cell r="A9" t="str">
            <v>A</v>
          </cell>
        </row>
      </sheetData>
      <sheetData sheetId="2043">
        <row r="9">
          <cell r="A9" t="str">
            <v>A</v>
          </cell>
        </row>
      </sheetData>
      <sheetData sheetId="2044">
        <row r="9">
          <cell r="A9" t="str">
            <v>A</v>
          </cell>
        </row>
      </sheetData>
      <sheetData sheetId="2045">
        <row r="9">
          <cell r="A9" t="str">
            <v>A</v>
          </cell>
        </row>
      </sheetData>
      <sheetData sheetId="2046">
        <row r="9">
          <cell r="A9" t="str">
            <v>A</v>
          </cell>
        </row>
      </sheetData>
      <sheetData sheetId="2047">
        <row r="9">
          <cell r="A9" t="str">
            <v>A</v>
          </cell>
        </row>
      </sheetData>
      <sheetData sheetId="2048">
        <row r="9">
          <cell r="A9" t="str">
            <v>A</v>
          </cell>
        </row>
      </sheetData>
      <sheetData sheetId="2049">
        <row r="9">
          <cell r="A9" t="str">
            <v>A</v>
          </cell>
        </row>
      </sheetData>
      <sheetData sheetId="2050">
        <row r="9">
          <cell r="A9" t="str">
            <v>A</v>
          </cell>
        </row>
      </sheetData>
      <sheetData sheetId="2051">
        <row r="9">
          <cell r="A9" t="str">
            <v>A</v>
          </cell>
        </row>
      </sheetData>
      <sheetData sheetId="2052">
        <row r="9">
          <cell r="A9" t="str">
            <v>A</v>
          </cell>
        </row>
      </sheetData>
      <sheetData sheetId="2053">
        <row r="9">
          <cell r="A9" t="str">
            <v>A</v>
          </cell>
        </row>
      </sheetData>
      <sheetData sheetId="2054">
        <row r="9">
          <cell r="A9" t="str">
            <v>A</v>
          </cell>
        </row>
      </sheetData>
      <sheetData sheetId="2055">
        <row r="9">
          <cell r="A9" t="str">
            <v>A</v>
          </cell>
        </row>
      </sheetData>
      <sheetData sheetId="2056">
        <row r="9">
          <cell r="A9" t="str">
            <v>A</v>
          </cell>
        </row>
      </sheetData>
      <sheetData sheetId="2057">
        <row r="9">
          <cell r="A9" t="str">
            <v>A</v>
          </cell>
        </row>
      </sheetData>
      <sheetData sheetId="2058">
        <row r="9">
          <cell r="A9" t="str">
            <v>A</v>
          </cell>
        </row>
      </sheetData>
      <sheetData sheetId="2059">
        <row r="9">
          <cell r="A9" t="str">
            <v>A</v>
          </cell>
        </row>
      </sheetData>
      <sheetData sheetId="2060">
        <row r="9">
          <cell r="A9" t="str">
            <v>A</v>
          </cell>
        </row>
      </sheetData>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ow r="9">
          <cell r="A9" t="str">
            <v>A</v>
          </cell>
        </row>
      </sheetData>
      <sheetData sheetId="2071">
        <row r="9">
          <cell r="A9" t="str">
            <v>A</v>
          </cell>
        </row>
      </sheetData>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ow r="9">
          <cell r="A9" t="str">
            <v>A</v>
          </cell>
        </row>
      </sheetData>
      <sheetData sheetId="2077">
        <row r="9">
          <cell r="A9" t="str">
            <v>A</v>
          </cell>
        </row>
      </sheetData>
      <sheetData sheetId="2078">
        <row r="9">
          <cell r="A9" t="str">
            <v>A</v>
          </cell>
        </row>
      </sheetData>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row r="9">
          <cell r="A9" t="str">
            <v>A</v>
          </cell>
        </row>
      </sheetData>
      <sheetData sheetId="2084">
        <row r="9">
          <cell r="A9" t="str">
            <v>A</v>
          </cell>
        </row>
      </sheetData>
      <sheetData sheetId="2085">
        <row r="9">
          <cell r="A9" t="str">
            <v>A</v>
          </cell>
        </row>
      </sheetData>
      <sheetData sheetId="2086">
        <row r="9">
          <cell r="A9" t="str">
            <v>A</v>
          </cell>
        </row>
      </sheetData>
      <sheetData sheetId="2087">
        <row r="9">
          <cell r="A9" t="str">
            <v>A</v>
          </cell>
        </row>
      </sheetData>
      <sheetData sheetId="2088">
        <row r="9">
          <cell r="A9" t="str">
            <v>A</v>
          </cell>
        </row>
      </sheetData>
      <sheetData sheetId="2089">
        <row r="9">
          <cell r="A9" t="str">
            <v>A</v>
          </cell>
        </row>
      </sheetData>
      <sheetData sheetId="2090">
        <row r="9">
          <cell r="A9" t="str">
            <v>A</v>
          </cell>
        </row>
      </sheetData>
      <sheetData sheetId="2091">
        <row r="9">
          <cell r="A9" t="str">
            <v>A</v>
          </cell>
        </row>
      </sheetData>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sheetData sheetId="2121">
        <row r="9">
          <cell r="A9" t="str">
            <v>A</v>
          </cell>
        </row>
      </sheetData>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sheetData sheetId="2174" refreshError="1"/>
      <sheetData sheetId="2175" refreshError="1"/>
      <sheetData sheetId="2176" refreshError="1"/>
      <sheetData sheetId="2177" refreshError="1"/>
      <sheetData sheetId="2178"/>
      <sheetData sheetId="2179"/>
      <sheetData sheetId="2180"/>
      <sheetData sheetId="2181"/>
      <sheetData sheetId="2182"/>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sheetData sheetId="2200" refreshError="1"/>
      <sheetData sheetId="2201" refreshError="1"/>
      <sheetData sheetId="2202">
        <row r="9">
          <cell r="A9" t="str">
            <v>A</v>
          </cell>
        </row>
      </sheetData>
      <sheetData sheetId="2203" refreshError="1"/>
      <sheetData sheetId="2204"/>
      <sheetData sheetId="2205"/>
      <sheetData sheetId="2206"/>
      <sheetData sheetId="2207">
        <row r="9">
          <cell r="A9" t="str">
            <v>A</v>
          </cell>
        </row>
      </sheetData>
      <sheetData sheetId="2208">
        <row r="9">
          <cell r="A9" t="str">
            <v>A</v>
          </cell>
        </row>
      </sheetData>
      <sheetData sheetId="2209">
        <row r="9">
          <cell r="A9" t="str">
            <v>A</v>
          </cell>
        </row>
      </sheetData>
      <sheetData sheetId="2210">
        <row r="9">
          <cell r="A9" t="str">
            <v>A</v>
          </cell>
        </row>
      </sheetData>
      <sheetData sheetId="2211">
        <row r="9">
          <cell r="A9" t="str">
            <v>A</v>
          </cell>
        </row>
      </sheetData>
      <sheetData sheetId="2212">
        <row r="9">
          <cell r="A9" t="str">
            <v>A</v>
          </cell>
        </row>
      </sheetData>
      <sheetData sheetId="2213">
        <row r="9">
          <cell r="A9" t="str">
            <v>A</v>
          </cell>
        </row>
      </sheetData>
      <sheetData sheetId="2214">
        <row r="9">
          <cell r="A9" t="str">
            <v>A</v>
          </cell>
        </row>
      </sheetData>
      <sheetData sheetId="2215">
        <row r="9">
          <cell r="A9" t="str">
            <v>A</v>
          </cell>
        </row>
      </sheetData>
      <sheetData sheetId="2216">
        <row r="9">
          <cell r="A9" t="str">
            <v>A</v>
          </cell>
        </row>
      </sheetData>
      <sheetData sheetId="2217">
        <row r="9">
          <cell r="A9" t="str">
            <v>A</v>
          </cell>
        </row>
      </sheetData>
      <sheetData sheetId="2218">
        <row r="9">
          <cell r="A9" t="str">
            <v>A</v>
          </cell>
        </row>
      </sheetData>
      <sheetData sheetId="2219">
        <row r="9">
          <cell r="A9" t="str">
            <v>A</v>
          </cell>
        </row>
      </sheetData>
      <sheetData sheetId="2220">
        <row r="9">
          <cell r="A9" t="str">
            <v>A</v>
          </cell>
        </row>
      </sheetData>
      <sheetData sheetId="2221">
        <row r="9">
          <cell r="A9" t="str">
            <v>A</v>
          </cell>
        </row>
      </sheetData>
      <sheetData sheetId="2222">
        <row r="9">
          <cell r="A9" t="str">
            <v>A</v>
          </cell>
        </row>
      </sheetData>
      <sheetData sheetId="2223">
        <row r="9">
          <cell r="A9" t="str">
            <v>A</v>
          </cell>
        </row>
      </sheetData>
      <sheetData sheetId="2224">
        <row r="9">
          <cell r="A9" t="str">
            <v>A</v>
          </cell>
        </row>
      </sheetData>
      <sheetData sheetId="2225">
        <row r="9">
          <cell r="A9" t="str">
            <v>A</v>
          </cell>
        </row>
      </sheetData>
      <sheetData sheetId="2226">
        <row r="9">
          <cell r="A9" t="str">
            <v>A</v>
          </cell>
        </row>
      </sheetData>
      <sheetData sheetId="2227">
        <row r="9">
          <cell r="A9" t="str">
            <v>A</v>
          </cell>
        </row>
      </sheetData>
      <sheetData sheetId="2228">
        <row r="9">
          <cell r="A9" t="str">
            <v>A</v>
          </cell>
        </row>
      </sheetData>
      <sheetData sheetId="2229">
        <row r="9">
          <cell r="A9" t="str">
            <v>A</v>
          </cell>
        </row>
      </sheetData>
      <sheetData sheetId="2230">
        <row r="9">
          <cell r="A9" t="str">
            <v>A</v>
          </cell>
        </row>
      </sheetData>
      <sheetData sheetId="2231">
        <row r="9">
          <cell r="A9" t="str">
            <v>A</v>
          </cell>
        </row>
      </sheetData>
      <sheetData sheetId="2232">
        <row r="9">
          <cell r="A9" t="str">
            <v>A</v>
          </cell>
        </row>
      </sheetData>
      <sheetData sheetId="2233">
        <row r="9">
          <cell r="A9" t="str">
            <v>A</v>
          </cell>
        </row>
      </sheetData>
      <sheetData sheetId="2234">
        <row r="9">
          <cell r="A9" t="str">
            <v>A</v>
          </cell>
        </row>
      </sheetData>
      <sheetData sheetId="2235">
        <row r="9">
          <cell r="A9" t="str">
            <v>A</v>
          </cell>
        </row>
      </sheetData>
      <sheetData sheetId="2236">
        <row r="9">
          <cell r="A9" t="str">
            <v>A</v>
          </cell>
        </row>
      </sheetData>
      <sheetData sheetId="2237">
        <row r="9">
          <cell r="A9" t="str">
            <v>A</v>
          </cell>
        </row>
      </sheetData>
      <sheetData sheetId="2238">
        <row r="9">
          <cell r="A9" t="str">
            <v>A</v>
          </cell>
        </row>
      </sheetData>
      <sheetData sheetId="2239">
        <row r="9">
          <cell r="A9" t="str">
            <v>A</v>
          </cell>
        </row>
      </sheetData>
      <sheetData sheetId="2240">
        <row r="9">
          <cell r="A9" t="str">
            <v>A</v>
          </cell>
        </row>
      </sheetData>
      <sheetData sheetId="2241">
        <row r="9">
          <cell r="A9" t="str">
            <v>A</v>
          </cell>
        </row>
      </sheetData>
      <sheetData sheetId="2242">
        <row r="9">
          <cell r="A9" t="str">
            <v>A</v>
          </cell>
        </row>
      </sheetData>
      <sheetData sheetId="2243">
        <row r="9">
          <cell r="A9" t="str">
            <v>A</v>
          </cell>
        </row>
      </sheetData>
      <sheetData sheetId="2244">
        <row r="9">
          <cell r="A9" t="str">
            <v>A</v>
          </cell>
        </row>
      </sheetData>
      <sheetData sheetId="2245">
        <row r="9">
          <cell r="A9" t="str">
            <v>A</v>
          </cell>
        </row>
      </sheetData>
      <sheetData sheetId="2246">
        <row r="9">
          <cell r="A9" t="str">
            <v>A</v>
          </cell>
        </row>
      </sheetData>
      <sheetData sheetId="2247">
        <row r="9">
          <cell r="A9" t="str">
            <v>A</v>
          </cell>
        </row>
      </sheetData>
      <sheetData sheetId="2248">
        <row r="9">
          <cell r="A9" t="str">
            <v>A</v>
          </cell>
        </row>
      </sheetData>
      <sheetData sheetId="2249">
        <row r="9">
          <cell r="A9" t="str">
            <v>A</v>
          </cell>
        </row>
      </sheetData>
      <sheetData sheetId="2250">
        <row r="9">
          <cell r="A9" t="str">
            <v>A</v>
          </cell>
        </row>
      </sheetData>
      <sheetData sheetId="2251">
        <row r="9">
          <cell r="A9" t="str">
            <v>A</v>
          </cell>
        </row>
      </sheetData>
      <sheetData sheetId="2252">
        <row r="9">
          <cell r="A9" t="str">
            <v>A</v>
          </cell>
        </row>
      </sheetData>
      <sheetData sheetId="2253">
        <row r="9">
          <cell r="A9" t="str">
            <v>A</v>
          </cell>
        </row>
      </sheetData>
      <sheetData sheetId="2254">
        <row r="9">
          <cell r="A9" t="str">
            <v>A</v>
          </cell>
        </row>
      </sheetData>
      <sheetData sheetId="2255">
        <row r="9">
          <cell r="A9" t="str">
            <v>A</v>
          </cell>
        </row>
      </sheetData>
      <sheetData sheetId="2256">
        <row r="9">
          <cell r="A9" t="str">
            <v>A</v>
          </cell>
        </row>
      </sheetData>
      <sheetData sheetId="2257">
        <row r="9">
          <cell r="A9" t="str">
            <v>A</v>
          </cell>
        </row>
      </sheetData>
      <sheetData sheetId="2258">
        <row r="9">
          <cell r="A9" t="str">
            <v>A</v>
          </cell>
        </row>
      </sheetData>
      <sheetData sheetId="2259">
        <row r="9">
          <cell r="A9" t="str">
            <v>A</v>
          </cell>
        </row>
      </sheetData>
      <sheetData sheetId="2260">
        <row r="9">
          <cell r="A9" t="str">
            <v>A</v>
          </cell>
        </row>
      </sheetData>
      <sheetData sheetId="2261">
        <row r="9">
          <cell r="A9" t="str">
            <v>A</v>
          </cell>
        </row>
      </sheetData>
      <sheetData sheetId="2262">
        <row r="9">
          <cell r="A9" t="str">
            <v>A</v>
          </cell>
        </row>
      </sheetData>
      <sheetData sheetId="2263">
        <row r="9">
          <cell r="A9" t="str">
            <v>A</v>
          </cell>
        </row>
      </sheetData>
      <sheetData sheetId="2264">
        <row r="9">
          <cell r="A9" t="str">
            <v>A</v>
          </cell>
        </row>
      </sheetData>
      <sheetData sheetId="2265">
        <row r="9">
          <cell r="A9" t="str">
            <v>A</v>
          </cell>
        </row>
      </sheetData>
      <sheetData sheetId="2266">
        <row r="9">
          <cell r="A9" t="str">
            <v>A</v>
          </cell>
        </row>
      </sheetData>
      <sheetData sheetId="2267">
        <row r="9">
          <cell r="A9" t="str">
            <v>A</v>
          </cell>
        </row>
      </sheetData>
      <sheetData sheetId="2268">
        <row r="9">
          <cell r="A9" t="str">
            <v>A</v>
          </cell>
        </row>
      </sheetData>
      <sheetData sheetId="2269">
        <row r="9">
          <cell r="A9" t="str">
            <v>A</v>
          </cell>
        </row>
      </sheetData>
      <sheetData sheetId="2270">
        <row r="9">
          <cell r="A9" t="str">
            <v>A</v>
          </cell>
        </row>
      </sheetData>
      <sheetData sheetId="2271">
        <row r="9">
          <cell r="A9" t="str">
            <v>A</v>
          </cell>
        </row>
      </sheetData>
      <sheetData sheetId="2272">
        <row r="9">
          <cell r="A9" t="str">
            <v>A</v>
          </cell>
        </row>
      </sheetData>
      <sheetData sheetId="2273">
        <row r="9">
          <cell r="A9" t="str">
            <v>A</v>
          </cell>
        </row>
      </sheetData>
      <sheetData sheetId="2274">
        <row r="9">
          <cell r="A9" t="str">
            <v>A</v>
          </cell>
        </row>
      </sheetData>
      <sheetData sheetId="2275">
        <row r="9">
          <cell r="A9" t="str">
            <v>A</v>
          </cell>
        </row>
      </sheetData>
      <sheetData sheetId="2276">
        <row r="9">
          <cell r="A9" t="str">
            <v>A</v>
          </cell>
        </row>
      </sheetData>
      <sheetData sheetId="2277">
        <row r="9">
          <cell r="A9" t="str">
            <v>A</v>
          </cell>
        </row>
      </sheetData>
      <sheetData sheetId="2278">
        <row r="9">
          <cell r="A9" t="str">
            <v>A</v>
          </cell>
        </row>
      </sheetData>
      <sheetData sheetId="2279">
        <row r="9">
          <cell r="A9" t="str">
            <v>A</v>
          </cell>
        </row>
      </sheetData>
      <sheetData sheetId="2280">
        <row r="9">
          <cell r="A9" t="str">
            <v>A</v>
          </cell>
        </row>
      </sheetData>
      <sheetData sheetId="2281">
        <row r="9">
          <cell r="A9" t="str">
            <v>A</v>
          </cell>
        </row>
      </sheetData>
      <sheetData sheetId="2282">
        <row r="9">
          <cell r="A9" t="str">
            <v>A</v>
          </cell>
        </row>
      </sheetData>
      <sheetData sheetId="2283">
        <row r="9">
          <cell r="A9" t="str">
            <v>A</v>
          </cell>
        </row>
      </sheetData>
      <sheetData sheetId="2284">
        <row r="9">
          <cell r="A9" t="str">
            <v>A</v>
          </cell>
        </row>
      </sheetData>
      <sheetData sheetId="2285">
        <row r="9">
          <cell r="A9" t="str">
            <v>A</v>
          </cell>
        </row>
      </sheetData>
      <sheetData sheetId="2286">
        <row r="9">
          <cell r="A9" t="str">
            <v>A</v>
          </cell>
        </row>
      </sheetData>
      <sheetData sheetId="2287">
        <row r="9">
          <cell r="A9" t="str">
            <v>A</v>
          </cell>
        </row>
      </sheetData>
      <sheetData sheetId="2288">
        <row r="9">
          <cell r="A9" t="str">
            <v>A</v>
          </cell>
        </row>
      </sheetData>
      <sheetData sheetId="2289">
        <row r="9">
          <cell r="A9" t="str">
            <v>A</v>
          </cell>
        </row>
      </sheetData>
      <sheetData sheetId="2290">
        <row r="9">
          <cell r="A9" t="str">
            <v>A</v>
          </cell>
        </row>
      </sheetData>
      <sheetData sheetId="2291">
        <row r="9">
          <cell r="A9" t="str">
            <v>A</v>
          </cell>
        </row>
      </sheetData>
      <sheetData sheetId="2292">
        <row r="9">
          <cell r="A9" t="str">
            <v>A</v>
          </cell>
        </row>
      </sheetData>
      <sheetData sheetId="2293">
        <row r="9">
          <cell r="A9" t="str">
            <v>A</v>
          </cell>
        </row>
      </sheetData>
      <sheetData sheetId="2294">
        <row r="9">
          <cell r="A9" t="str">
            <v>A</v>
          </cell>
        </row>
      </sheetData>
      <sheetData sheetId="2295">
        <row r="9">
          <cell r="A9" t="str">
            <v>A</v>
          </cell>
        </row>
      </sheetData>
      <sheetData sheetId="2296">
        <row r="9">
          <cell r="A9" t="str">
            <v>A</v>
          </cell>
        </row>
      </sheetData>
      <sheetData sheetId="2297">
        <row r="9">
          <cell r="A9" t="str">
            <v>A</v>
          </cell>
        </row>
      </sheetData>
      <sheetData sheetId="2298">
        <row r="9">
          <cell r="A9" t="str">
            <v>A</v>
          </cell>
        </row>
      </sheetData>
      <sheetData sheetId="2299">
        <row r="9">
          <cell r="A9" t="str">
            <v>A</v>
          </cell>
        </row>
      </sheetData>
      <sheetData sheetId="2300">
        <row r="9">
          <cell r="A9" t="str">
            <v>A</v>
          </cell>
        </row>
      </sheetData>
      <sheetData sheetId="2301">
        <row r="9">
          <cell r="A9" t="str">
            <v>A</v>
          </cell>
        </row>
      </sheetData>
      <sheetData sheetId="2302">
        <row r="9">
          <cell r="A9" t="str">
            <v>A</v>
          </cell>
        </row>
      </sheetData>
      <sheetData sheetId="2303">
        <row r="9">
          <cell r="A9" t="str">
            <v>A</v>
          </cell>
        </row>
      </sheetData>
      <sheetData sheetId="2304">
        <row r="9">
          <cell r="A9" t="str">
            <v>A</v>
          </cell>
        </row>
      </sheetData>
      <sheetData sheetId="2305">
        <row r="9">
          <cell r="A9" t="str">
            <v>A</v>
          </cell>
        </row>
      </sheetData>
      <sheetData sheetId="2306">
        <row r="9">
          <cell r="A9" t="str">
            <v>A</v>
          </cell>
        </row>
      </sheetData>
      <sheetData sheetId="2307">
        <row r="9">
          <cell r="A9" t="str">
            <v>A</v>
          </cell>
        </row>
      </sheetData>
      <sheetData sheetId="2308">
        <row r="9">
          <cell r="A9" t="str">
            <v>A</v>
          </cell>
        </row>
      </sheetData>
      <sheetData sheetId="2309">
        <row r="9">
          <cell r="A9" t="str">
            <v>A</v>
          </cell>
        </row>
      </sheetData>
      <sheetData sheetId="2310">
        <row r="9">
          <cell r="A9" t="str">
            <v>A</v>
          </cell>
        </row>
      </sheetData>
      <sheetData sheetId="2311">
        <row r="9">
          <cell r="A9" t="str">
            <v>A</v>
          </cell>
        </row>
      </sheetData>
      <sheetData sheetId="2312">
        <row r="9">
          <cell r="A9" t="str">
            <v>A</v>
          </cell>
        </row>
      </sheetData>
      <sheetData sheetId="2313">
        <row r="9">
          <cell r="A9" t="str">
            <v>A</v>
          </cell>
        </row>
      </sheetData>
      <sheetData sheetId="2314">
        <row r="9">
          <cell r="A9" t="str">
            <v>A</v>
          </cell>
        </row>
      </sheetData>
      <sheetData sheetId="2315">
        <row r="9">
          <cell r="A9" t="str">
            <v>A</v>
          </cell>
        </row>
      </sheetData>
      <sheetData sheetId="2316">
        <row r="9">
          <cell r="A9" t="str">
            <v>A</v>
          </cell>
        </row>
      </sheetData>
      <sheetData sheetId="2317">
        <row r="9">
          <cell r="A9" t="str">
            <v>A</v>
          </cell>
        </row>
      </sheetData>
      <sheetData sheetId="2318">
        <row r="9">
          <cell r="A9" t="str">
            <v>A</v>
          </cell>
        </row>
      </sheetData>
      <sheetData sheetId="2319">
        <row r="9">
          <cell r="A9" t="str">
            <v>A</v>
          </cell>
        </row>
      </sheetData>
      <sheetData sheetId="2320">
        <row r="9">
          <cell r="A9" t="str">
            <v>A</v>
          </cell>
        </row>
      </sheetData>
      <sheetData sheetId="2321">
        <row r="9">
          <cell r="A9" t="str">
            <v>A</v>
          </cell>
        </row>
      </sheetData>
      <sheetData sheetId="2322">
        <row r="9">
          <cell r="A9" t="str">
            <v>A</v>
          </cell>
        </row>
      </sheetData>
      <sheetData sheetId="2323">
        <row r="9">
          <cell r="A9" t="str">
            <v>A</v>
          </cell>
        </row>
      </sheetData>
      <sheetData sheetId="2324">
        <row r="9">
          <cell r="A9" t="str">
            <v>A</v>
          </cell>
        </row>
      </sheetData>
      <sheetData sheetId="2325">
        <row r="9">
          <cell r="A9" t="str">
            <v>A</v>
          </cell>
        </row>
      </sheetData>
      <sheetData sheetId="2326">
        <row r="9">
          <cell r="A9" t="str">
            <v>A</v>
          </cell>
        </row>
      </sheetData>
      <sheetData sheetId="2327">
        <row r="9">
          <cell r="A9" t="str">
            <v>A</v>
          </cell>
        </row>
      </sheetData>
      <sheetData sheetId="2328">
        <row r="9">
          <cell r="A9" t="str">
            <v>A</v>
          </cell>
        </row>
      </sheetData>
      <sheetData sheetId="2329">
        <row r="9">
          <cell r="A9" t="str">
            <v>A</v>
          </cell>
        </row>
      </sheetData>
      <sheetData sheetId="2330">
        <row r="9">
          <cell r="A9" t="str">
            <v>A</v>
          </cell>
        </row>
      </sheetData>
      <sheetData sheetId="2331">
        <row r="9">
          <cell r="A9" t="str">
            <v>A</v>
          </cell>
        </row>
      </sheetData>
      <sheetData sheetId="2332">
        <row r="9">
          <cell r="A9" t="str">
            <v>A</v>
          </cell>
        </row>
      </sheetData>
      <sheetData sheetId="2333">
        <row r="9">
          <cell r="A9" t="str">
            <v>A</v>
          </cell>
        </row>
      </sheetData>
      <sheetData sheetId="2334">
        <row r="9">
          <cell r="A9" t="str">
            <v>A</v>
          </cell>
        </row>
      </sheetData>
      <sheetData sheetId="2335">
        <row r="9">
          <cell r="A9" t="str">
            <v>A</v>
          </cell>
        </row>
      </sheetData>
      <sheetData sheetId="2336">
        <row r="9">
          <cell r="A9" t="str">
            <v>A</v>
          </cell>
        </row>
      </sheetData>
      <sheetData sheetId="2337">
        <row r="9">
          <cell r="A9" t="str">
            <v>A</v>
          </cell>
        </row>
      </sheetData>
      <sheetData sheetId="2338">
        <row r="9">
          <cell r="A9" t="str">
            <v>A</v>
          </cell>
        </row>
      </sheetData>
      <sheetData sheetId="2339">
        <row r="9">
          <cell r="A9" t="str">
            <v>A</v>
          </cell>
        </row>
      </sheetData>
      <sheetData sheetId="2340">
        <row r="9">
          <cell r="A9" t="str">
            <v>A</v>
          </cell>
        </row>
      </sheetData>
      <sheetData sheetId="2341">
        <row r="9">
          <cell r="A9" t="str">
            <v>A</v>
          </cell>
        </row>
      </sheetData>
      <sheetData sheetId="2342">
        <row r="9">
          <cell r="A9" t="str">
            <v>A</v>
          </cell>
        </row>
      </sheetData>
      <sheetData sheetId="2343">
        <row r="9">
          <cell r="A9" t="str">
            <v>A</v>
          </cell>
        </row>
      </sheetData>
      <sheetData sheetId="2344">
        <row r="9">
          <cell r="A9" t="str">
            <v>A</v>
          </cell>
        </row>
      </sheetData>
      <sheetData sheetId="2345">
        <row r="9">
          <cell r="A9" t="str">
            <v>A</v>
          </cell>
        </row>
      </sheetData>
      <sheetData sheetId="2346">
        <row r="9">
          <cell r="A9" t="str">
            <v>A</v>
          </cell>
        </row>
      </sheetData>
      <sheetData sheetId="2347">
        <row r="9">
          <cell r="A9" t="str">
            <v>A</v>
          </cell>
        </row>
      </sheetData>
      <sheetData sheetId="2348">
        <row r="9">
          <cell r="A9" t="str">
            <v>A</v>
          </cell>
        </row>
      </sheetData>
      <sheetData sheetId="2349">
        <row r="9">
          <cell r="A9" t="str">
            <v>A</v>
          </cell>
        </row>
      </sheetData>
      <sheetData sheetId="2350">
        <row r="9">
          <cell r="A9" t="str">
            <v>A</v>
          </cell>
        </row>
      </sheetData>
      <sheetData sheetId="2351">
        <row r="9">
          <cell r="A9" t="str">
            <v>A</v>
          </cell>
        </row>
      </sheetData>
      <sheetData sheetId="2352">
        <row r="9">
          <cell r="A9" t="str">
            <v>A</v>
          </cell>
        </row>
      </sheetData>
      <sheetData sheetId="2353">
        <row r="9">
          <cell r="A9" t="str">
            <v>A</v>
          </cell>
        </row>
      </sheetData>
      <sheetData sheetId="2354">
        <row r="9">
          <cell r="A9" t="str">
            <v>A</v>
          </cell>
        </row>
      </sheetData>
      <sheetData sheetId="2355"/>
      <sheetData sheetId="2356">
        <row r="9">
          <cell r="A9" t="str">
            <v>A</v>
          </cell>
        </row>
      </sheetData>
      <sheetData sheetId="2357">
        <row r="9">
          <cell r="A9" t="str">
            <v>A</v>
          </cell>
        </row>
      </sheetData>
      <sheetData sheetId="2358">
        <row r="9">
          <cell r="A9" t="str">
            <v>A</v>
          </cell>
        </row>
      </sheetData>
      <sheetData sheetId="2359">
        <row r="9">
          <cell r="A9" t="str">
            <v>A</v>
          </cell>
        </row>
      </sheetData>
      <sheetData sheetId="2360">
        <row r="9">
          <cell r="A9" t="str">
            <v>A</v>
          </cell>
        </row>
      </sheetData>
      <sheetData sheetId="2361"/>
      <sheetData sheetId="2362"/>
      <sheetData sheetId="2363"/>
      <sheetData sheetId="2364">
        <row r="9">
          <cell r="A9" t="str">
            <v>A</v>
          </cell>
        </row>
      </sheetData>
      <sheetData sheetId="2365">
        <row r="9">
          <cell r="A9" t="str">
            <v>A</v>
          </cell>
        </row>
      </sheetData>
      <sheetData sheetId="2366">
        <row r="9">
          <cell r="A9" t="str">
            <v>A</v>
          </cell>
        </row>
      </sheetData>
      <sheetData sheetId="2367">
        <row r="9">
          <cell r="A9" t="str">
            <v>A</v>
          </cell>
        </row>
      </sheetData>
      <sheetData sheetId="2368">
        <row r="9">
          <cell r="A9" t="str">
            <v>A</v>
          </cell>
        </row>
      </sheetData>
      <sheetData sheetId="2369"/>
      <sheetData sheetId="2370"/>
      <sheetData sheetId="2371"/>
      <sheetData sheetId="2372">
        <row r="9">
          <cell r="A9" t="str">
            <v>A</v>
          </cell>
        </row>
      </sheetData>
      <sheetData sheetId="2373">
        <row r="9">
          <cell r="A9" t="str">
            <v>A</v>
          </cell>
        </row>
      </sheetData>
      <sheetData sheetId="2374"/>
      <sheetData sheetId="2375">
        <row r="9">
          <cell r="A9" t="str">
            <v>A</v>
          </cell>
        </row>
      </sheetData>
      <sheetData sheetId="2376">
        <row r="9">
          <cell r="A9" t="str">
            <v>A</v>
          </cell>
        </row>
      </sheetData>
      <sheetData sheetId="2377"/>
      <sheetData sheetId="2378"/>
      <sheetData sheetId="2379">
        <row r="9">
          <cell r="A9" t="str">
            <v>A</v>
          </cell>
        </row>
      </sheetData>
      <sheetData sheetId="2380">
        <row r="9">
          <cell r="A9" t="str">
            <v>A</v>
          </cell>
        </row>
      </sheetData>
      <sheetData sheetId="2381">
        <row r="9">
          <cell r="A9" t="str">
            <v>A</v>
          </cell>
        </row>
      </sheetData>
      <sheetData sheetId="2382">
        <row r="9">
          <cell r="A9" t="str">
            <v>A</v>
          </cell>
        </row>
      </sheetData>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sheetData sheetId="2404"/>
      <sheetData sheetId="2405"/>
      <sheetData sheetId="2406" refreshError="1"/>
      <sheetData sheetId="2407" refreshError="1"/>
      <sheetData sheetId="2408">
        <row r="9">
          <cell r="A9" t="str">
            <v>A</v>
          </cell>
        </row>
      </sheetData>
      <sheetData sheetId="2409"/>
      <sheetData sheetId="2410">
        <row r="9">
          <cell r="A9" t="str">
            <v>A</v>
          </cell>
        </row>
      </sheetData>
      <sheetData sheetId="241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sheetData sheetId="2444"/>
      <sheetData sheetId="2445"/>
      <sheetData sheetId="2446">
        <row r="9">
          <cell r="A9" t="str">
            <v>A</v>
          </cell>
        </row>
      </sheetData>
      <sheetData sheetId="2447">
        <row r="9">
          <cell r="A9" t="str">
            <v>A</v>
          </cell>
        </row>
      </sheetData>
      <sheetData sheetId="2448"/>
      <sheetData sheetId="2449">
        <row r="9">
          <cell r="A9" t="str">
            <v>A</v>
          </cell>
        </row>
      </sheetData>
      <sheetData sheetId="2450">
        <row r="9">
          <cell r="A9" t="str">
            <v>A</v>
          </cell>
        </row>
      </sheetData>
      <sheetData sheetId="2451">
        <row r="9">
          <cell r="A9" t="str">
            <v>A</v>
          </cell>
        </row>
      </sheetData>
      <sheetData sheetId="2452">
        <row r="9">
          <cell r="A9" t="str">
            <v>A</v>
          </cell>
        </row>
      </sheetData>
      <sheetData sheetId="2453">
        <row r="9">
          <cell r="A9" t="str">
            <v>A</v>
          </cell>
        </row>
      </sheetData>
      <sheetData sheetId="2454">
        <row r="9">
          <cell r="A9" t="str">
            <v>A</v>
          </cell>
        </row>
      </sheetData>
      <sheetData sheetId="2455">
        <row r="9">
          <cell r="A9" t="str">
            <v>A</v>
          </cell>
        </row>
      </sheetData>
      <sheetData sheetId="2456">
        <row r="9">
          <cell r="A9" t="str">
            <v>A</v>
          </cell>
        </row>
      </sheetData>
      <sheetData sheetId="2457">
        <row r="9">
          <cell r="A9" t="str">
            <v>A</v>
          </cell>
        </row>
      </sheetData>
      <sheetData sheetId="2458">
        <row r="9">
          <cell r="A9" t="str">
            <v>A</v>
          </cell>
        </row>
      </sheetData>
      <sheetData sheetId="2459">
        <row r="9">
          <cell r="A9" t="str">
            <v>A</v>
          </cell>
        </row>
      </sheetData>
      <sheetData sheetId="2460">
        <row r="9">
          <cell r="A9" t="str">
            <v>A</v>
          </cell>
        </row>
      </sheetData>
      <sheetData sheetId="2461">
        <row r="9">
          <cell r="A9" t="str">
            <v>A</v>
          </cell>
        </row>
      </sheetData>
      <sheetData sheetId="2462">
        <row r="9">
          <cell r="A9" t="str">
            <v>A</v>
          </cell>
        </row>
      </sheetData>
      <sheetData sheetId="2463">
        <row r="9">
          <cell r="A9" t="str">
            <v>A</v>
          </cell>
        </row>
      </sheetData>
      <sheetData sheetId="2464">
        <row r="9">
          <cell r="A9" t="str">
            <v>A</v>
          </cell>
        </row>
      </sheetData>
      <sheetData sheetId="2465">
        <row r="9">
          <cell r="A9" t="str">
            <v>A</v>
          </cell>
        </row>
      </sheetData>
      <sheetData sheetId="2466">
        <row r="9">
          <cell r="A9" t="str">
            <v>A</v>
          </cell>
        </row>
      </sheetData>
      <sheetData sheetId="2467">
        <row r="9">
          <cell r="A9" t="str">
            <v>A</v>
          </cell>
        </row>
      </sheetData>
      <sheetData sheetId="2468">
        <row r="9">
          <cell r="A9" t="str">
            <v>A</v>
          </cell>
        </row>
      </sheetData>
      <sheetData sheetId="2469">
        <row r="9">
          <cell r="A9" t="str">
            <v>A</v>
          </cell>
        </row>
      </sheetData>
      <sheetData sheetId="2470">
        <row r="9">
          <cell r="A9" t="str">
            <v>A</v>
          </cell>
        </row>
      </sheetData>
      <sheetData sheetId="2471">
        <row r="9">
          <cell r="A9" t="str">
            <v>A</v>
          </cell>
        </row>
      </sheetData>
      <sheetData sheetId="2472">
        <row r="9">
          <cell r="A9" t="str">
            <v>A</v>
          </cell>
        </row>
      </sheetData>
      <sheetData sheetId="2473">
        <row r="9">
          <cell r="A9" t="str">
            <v>A</v>
          </cell>
        </row>
      </sheetData>
      <sheetData sheetId="2474">
        <row r="9">
          <cell r="A9" t="str">
            <v>A</v>
          </cell>
        </row>
      </sheetData>
      <sheetData sheetId="2475">
        <row r="9">
          <cell r="A9" t="str">
            <v>A</v>
          </cell>
        </row>
      </sheetData>
      <sheetData sheetId="2476">
        <row r="9">
          <cell r="A9" t="str">
            <v>A</v>
          </cell>
        </row>
      </sheetData>
      <sheetData sheetId="2477">
        <row r="9">
          <cell r="A9" t="str">
            <v>A</v>
          </cell>
        </row>
      </sheetData>
      <sheetData sheetId="2478">
        <row r="9">
          <cell r="A9" t="str">
            <v>A</v>
          </cell>
        </row>
      </sheetData>
      <sheetData sheetId="2479">
        <row r="9">
          <cell r="A9" t="str">
            <v>A</v>
          </cell>
        </row>
      </sheetData>
      <sheetData sheetId="2480">
        <row r="9">
          <cell r="A9" t="str">
            <v>A</v>
          </cell>
        </row>
      </sheetData>
      <sheetData sheetId="2481">
        <row r="9">
          <cell r="A9" t="str">
            <v>A</v>
          </cell>
        </row>
      </sheetData>
      <sheetData sheetId="2482">
        <row r="9">
          <cell r="A9" t="str">
            <v>A</v>
          </cell>
        </row>
      </sheetData>
      <sheetData sheetId="2483">
        <row r="9">
          <cell r="A9" t="str">
            <v>A</v>
          </cell>
        </row>
      </sheetData>
      <sheetData sheetId="2484">
        <row r="9">
          <cell r="A9" t="str">
            <v>A</v>
          </cell>
        </row>
      </sheetData>
      <sheetData sheetId="2485">
        <row r="9">
          <cell r="A9" t="str">
            <v>A</v>
          </cell>
        </row>
      </sheetData>
      <sheetData sheetId="2486">
        <row r="9">
          <cell r="A9" t="str">
            <v>A</v>
          </cell>
        </row>
      </sheetData>
      <sheetData sheetId="2487">
        <row r="9">
          <cell r="A9" t="str">
            <v>A</v>
          </cell>
        </row>
      </sheetData>
      <sheetData sheetId="2488">
        <row r="9">
          <cell r="A9" t="str">
            <v>A</v>
          </cell>
        </row>
      </sheetData>
      <sheetData sheetId="2489">
        <row r="9">
          <cell r="A9" t="str">
            <v>A</v>
          </cell>
        </row>
      </sheetData>
      <sheetData sheetId="2490">
        <row r="9">
          <cell r="A9" t="str">
            <v>A</v>
          </cell>
        </row>
      </sheetData>
      <sheetData sheetId="2491">
        <row r="9">
          <cell r="A9" t="str">
            <v>A</v>
          </cell>
        </row>
      </sheetData>
      <sheetData sheetId="2492">
        <row r="9">
          <cell r="A9" t="str">
            <v>A</v>
          </cell>
        </row>
      </sheetData>
      <sheetData sheetId="2493">
        <row r="9">
          <cell r="A9" t="str">
            <v>A</v>
          </cell>
        </row>
      </sheetData>
      <sheetData sheetId="2494">
        <row r="9">
          <cell r="A9" t="str">
            <v>A</v>
          </cell>
        </row>
      </sheetData>
      <sheetData sheetId="2495">
        <row r="9">
          <cell r="A9" t="str">
            <v>A</v>
          </cell>
        </row>
      </sheetData>
      <sheetData sheetId="2496">
        <row r="9">
          <cell r="A9" t="str">
            <v>A</v>
          </cell>
        </row>
      </sheetData>
      <sheetData sheetId="2497">
        <row r="9">
          <cell r="A9" t="str">
            <v>A</v>
          </cell>
        </row>
      </sheetData>
      <sheetData sheetId="2498">
        <row r="9">
          <cell r="A9" t="str">
            <v>A</v>
          </cell>
        </row>
      </sheetData>
      <sheetData sheetId="2499">
        <row r="9">
          <cell r="A9" t="str">
            <v>A</v>
          </cell>
        </row>
      </sheetData>
      <sheetData sheetId="2500">
        <row r="9">
          <cell r="A9" t="str">
            <v>A</v>
          </cell>
        </row>
      </sheetData>
      <sheetData sheetId="2501">
        <row r="9">
          <cell r="A9" t="str">
            <v>A</v>
          </cell>
        </row>
      </sheetData>
      <sheetData sheetId="2502">
        <row r="9">
          <cell r="A9" t="str">
            <v>A</v>
          </cell>
        </row>
      </sheetData>
      <sheetData sheetId="2503">
        <row r="9">
          <cell r="A9" t="str">
            <v>A</v>
          </cell>
        </row>
      </sheetData>
      <sheetData sheetId="2504">
        <row r="9">
          <cell r="A9" t="str">
            <v>A</v>
          </cell>
        </row>
      </sheetData>
      <sheetData sheetId="2505">
        <row r="9">
          <cell r="A9" t="str">
            <v>A</v>
          </cell>
        </row>
      </sheetData>
      <sheetData sheetId="2506">
        <row r="9">
          <cell r="A9" t="str">
            <v>A</v>
          </cell>
        </row>
      </sheetData>
      <sheetData sheetId="2507">
        <row r="9">
          <cell r="A9" t="str">
            <v>A</v>
          </cell>
        </row>
      </sheetData>
      <sheetData sheetId="2508">
        <row r="9">
          <cell r="A9" t="str">
            <v>A</v>
          </cell>
        </row>
      </sheetData>
      <sheetData sheetId="2509">
        <row r="9">
          <cell r="A9" t="str">
            <v>A</v>
          </cell>
        </row>
      </sheetData>
      <sheetData sheetId="2510">
        <row r="9">
          <cell r="A9" t="str">
            <v>A</v>
          </cell>
        </row>
      </sheetData>
      <sheetData sheetId="2511">
        <row r="9">
          <cell r="A9" t="str">
            <v>A</v>
          </cell>
        </row>
      </sheetData>
      <sheetData sheetId="2512">
        <row r="9">
          <cell r="A9" t="str">
            <v>A</v>
          </cell>
        </row>
      </sheetData>
      <sheetData sheetId="2513">
        <row r="9">
          <cell r="A9" t="str">
            <v>A</v>
          </cell>
        </row>
      </sheetData>
      <sheetData sheetId="2514">
        <row r="9">
          <cell r="A9" t="str">
            <v>A</v>
          </cell>
        </row>
      </sheetData>
      <sheetData sheetId="2515">
        <row r="9">
          <cell r="A9" t="str">
            <v>A</v>
          </cell>
        </row>
      </sheetData>
      <sheetData sheetId="2516">
        <row r="9">
          <cell r="A9" t="str">
            <v>A</v>
          </cell>
        </row>
      </sheetData>
      <sheetData sheetId="2517">
        <row r="9">
          <cell r="A9" t="str">
            <v>A</v>
          </cell>
        </row>
      </sheetData>
      <sheetData sheetId="2518">
        <row r="9">
          <cell r="A9" t="str">
            <v>A</v>
          </cell>
        </row>
      </sheetData>
      <sheetData sheetId="2519">
        <row r="9">
          <cell r="A9" t="str">
            <v>A</v>
          </cell>
        </row>
      </sheetData>
      <sheetData sheetId="2520">
        <row r="9">
          <cell r="A9" t="str">
            <v>A</v>
          </cell>
        </row>
      </sheetData>
      <sheetData sheetId="2521">
        <row r="9">
          <cell r="A9" t="str">
            <v>A</v>
          </cell>
        </row>
      </sheetData>
      <sheetData sheetId="2522">
        <row r="9">
          <cell r="A9" t="str">
            <v>A</v>
          </cell>
        </row>
      </sheetData>
      <sheetData sheetId="2523">
        <row r="9">
          <cell r="A9" t="str">
            <v>A</v>
          </cell>
        </row>
      </sheetData>
      <sheetData sheetId="2524">
        <row r="9">
          <cell r="A9" t="str">
            <v>A</v>
          </cell>
        </row>
      </sheetData>
      <sheetData sheetId="2525">
        <row r="9">
          <cell r="A9" t="str">
            <v>A</v>
          </cell>
        </row>
      </sheetData>
      <sheetData sheetId="2526">
        <row r="9">
          <cell r="A9" t="str">
            <v>A</v>
          </cell>
        </row>
      </sheetData>
      <sheetData sheetId="2527">
        <row r="9">
          <cell r="A9" t="str">
            <v>A</v>
          </cell>
        </row>
      </sheetData>
      <sheetData sheetId="2528">
        <row r="9">
          <cell r="A9" t="str">
            <v>A</v>
          </cell>
        </row>
      </sheetData>
      <sheetData sheetId="2529">
        <row r="9">
          <cell r="A9" t="str">
            <v>A</v>
          </cell>
        </row>
      </sheetData>
      <sheetData sheetId="2530">
        <row r="9">
          <cell r="A9" t="str">
            <v>A</v>
          </cell>
        </row>
      </sheetData>
      <sheetData sheetId="2531">
        <row r="9">
          <cell r="A9" t="str">
            <v>A</v>
          </cell>
        </row>
      </sheetData>
      <sheetData sheetId="2532">
        <row r="9">
          <cell r="A9" t="str">
            <v>A</v>
          </cell>
        </row>
      </sheetData>
      <sheetData sheetId="2533">
        <row r="9">
          <cell r="A9" t="str">
            <v>A</v>
          </cell>
        </row>
      </sheetData>
      <sheetData sheetId="2534">
        <row r="9">
          <cell r="A9" t="str">
            <v>A</v>
          </cell>
        </row>
      </sheetData>
      <sheetData sheetId="2535">
        <row r="9">
          <cell r="A9" t="str">
            <v>A</v>
          </cell>
        </row>
      </sheetData>
      <sheetData sheetId="2536">
        <row r="9">
          <cell r="A9" t="str">
            <v>A</v>
          </cell>
        </row>
      </sheetData>
      <sheetData sheetId="2537">
        <row r="9">
          <cell r="A9" t="str">
            <v>A</v>
          </cell>
        </row>
      </sheetData>
      <sheetData sheetId="2538">
        <row r="9">
          <cell r="A9" t="str">
            <v>A</v>
          </cell>
        </row>
      </sheetData>
      <sheetData sheetId="2539">
        <row r="9">
          <cell r="A9" t="str">
            <v>A</v>
          </cell>
        </row>
      </sheetData>
      <sheetData sheetId="2540">
        <row r="9">
          <cell r="A9" t="str">
            <v>A</v>
          </cell>
        </row>
      </sheetData>
      <sheetData sheetId="2541">
        <row r="9">
          <cell r="A9" t="str">
            <v>A</v>
          </cell>
        </row>
      </sheetData>
      <sheetData sheetId="2542">
        <row r="9">
          <cell r="A9" t="str">
            <v>A</v>
          </cell>
        </row>
      </sheetData>
      <sheetData sheetId="2543">
        <row r="9">
          <cell r="A9" t="str">
            <v>A</v>
          </cell>
        </row>
      </sheetData>
      <sheetData sheetId="2544">
        <row r="9">
          <cell r="A9" t="str">
            <v>A</v>
          </cell>
        </row>
      </sheetData>
      <sheetData sheetId="2545">
        <row r="9">
          <cell r="A9" t="str">
            <v>A</v>
          </cell>
        </row>
      </sheetData>
      <sheetData sheetId="2546">
        <row r="9">
          <cell r="A9" t="str">
            <v>A</v>
          </cell>
        </row>
      </sheetData>
      <sheetData sheetId="2547">
        <row r="9">
          <cell r="A9" t="str">
            <v>A</v>
          </cell>
        </row>
      </sheetData>
      <sheetData sheetId="2548" refreshError="1"/>
      <sheetData sheetId="2549" refreshError="1"/>
      <sheetData sheetId="2550" refreshError="1"/>
      <sheetData sheetId="2551" refreshError="1"/>
      <sheetData sheetId="2552" refreshError="1"/>
      <sheetData sheetId="2553" refreshError="1"/>
      <sheetData sheetId="2554"/>
      <sheetData sheetId="2555" refreshError="1"/>
      <sheetData sheetId="2556">
        <row r="9">
          <cell r="A9" t="str">
            <v>A</v>
          </cell>
        </row>
      </sheetData>
      <sheetData sheetId="2557">
        <row r="9">
          <cell r="A9" t="str">
            <v>A</v>
          </cell>
        </row>
      </sheetData>
      <sheetData sheetId="2558">
        <row r="9">
          <cell r="A9" t="str">
            <v>A</v>
          </cell>
        </row>
      </sheetData>
      <sheetData sheetId="2559">
        <row r="9">
          <cell r="A9" t="str">
            <v>A</v>
          </cell>
        </row>
      </sheetData>
      <sheetData sheetId="2560">
        <row r="9">
          <cell r="A9" t="str">
            <v>A</v>
          </cell>
        </row>
      </sheetData>
      <sheetData sheetId="2561"/>
      <sheetData sheetId="2562"/>
      <sheetData sheetId="2563"/>
      <sheetData sheetId="2564"/>
      <sheetData sheetId="2565">
        <row r="9">
          <cell r="A9" t="str">
            <v>A</v>
          </cell>
        </row>
      </sheetData>
      <sheetData sheetId="2566"/>
      <sheetData sheetId="2567"/>
      <sheetData sheetId="2568"/>
      <sheetData sheetId="2569"/>
      <sheetData sheetId="2570"/>
      <sheetData sheetId="2571">
        <row r="9">
          <cell r="A9" t="str">
            <v>A</v>
          </cell>
        </row>
      </sheetData>
      <sheetData sheetId="2572"/>
      <sheetData sheetId="2573"/>
      <sheetData sheetId="2574" refreshError="1"/>
      <sheetData sheetId="2575" refreshError="1"/>
      <sheetData sheetId="2576">
        <row r="9">
          <cell r="A9" t="str">
            <v>A</v>
          </cell>
        </row>
      </sheetData>
      <sheetData sheetId="2577"/>
      <sheetData sheetId="2578"/>
      <sheetData sheetId="2579">
        <row r="9">
          <cell r="A9" t="str">
            <v>A</v>
          </cell>
        </row>
      </sheetData>
      <sheetData sheetId="2580"/>
      <sheetData sheetId="2581"/>
      <sheetData sheetId="2582"/>
      <sheetData sheetId="2583"/>
      <sheetData sheetId="2584"/>
      <sheetData sheetId="2585"/>
      <sheetData sheetId="2586" refreshError="1"/>
      <sheetData sheetId="2587">
        <row r="9">
          <cell r="A9" t="str">
            <v>A</v>
          </cell>
        </row>
      </sheetData>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row r="9">
          <cell r="A9" t="str">
            <v>A</v>
          </cell>
        </row>
      </sheetData>
      <sheetData sheetId="2610"/>
      <sheetData sheetId="2611"/>
      <sheetData sheetId="2612"/>
      <sheetData sheetId="2613"/>
      <sheetData sheetId="2614"/>
      <sheetData sheetId="2615"/>
      <sheetData sheetId="2616">
        <row r="9">
          <cell r="A9" t="str">
            <v>A</v>
          </cell>
        </row>
      </sheetData>
      <sheetData sheetId="2617"/>
      <sheetData sheetId="2618"/>
      <sheetData sheetId="2619"/>
      <sheetData sheetId="2620"/>
      <sheetData sheetId="2621"/>
      <sheetData sheetId="2622"/>
      <sheetData sheetId="2623"/>
      <sheetData sheetId="2624"/>
      <sheetData sheetId="2625">
        <row r="9">
          <cell r="A9" t="str">
            <v>A</v>
          </cell>
        </row>
      </sheetData>
      <sheetData sheetId="2626"/>
      <sheetData sheetId="2627">
        <row r="9">
          <cell r="A9" t="str">
            <v>A</v>
          </cell>
        </row>
      </sheetData>
      <sheetData sheetId="2628"/>
      <sheetData sheetId="2629"/>
      <sheetData sheetId="2630"/>
      <sheetData sheetId="2631"/>
      <sheetData sheetId="2632"/>
      <sheetData sheetId="2633"/>
      <sheetData sheetId="2634"/>
      <sheetData sheetId="2635"/>
      <sheetData sheetId="2636"/>
      <sheetData sheetId="2637"/>
      <sheetData sheetId="2638">
        <row r="9">
          <cell r="A9" t="str">
            <v>A</v>
          </cell>
        </row>
      </sheetData>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row r="9">
          <cell r="A9" t="str">
            <v>A</v>
          </cell>
        </row>
      </sheetData>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row r="9">
          <cell r="A9" t="str">
            <v>A</v>
          </cell>
        </row>
      </sheetData>
      <sheetData sheetId="2740"/>
      <sheetData sheetId="2741"/>
      <sheetData sheetId="2742"/>
      <sheetData sheetId="2743"/>
      <sheetData sheetId="2744"/>
      <sheetData sheetId="2745"/>
      <sheetData sheetId="2746"/>
      <sheetData sheetId="2747">
        <row r="9">
          <cell r="A9" t="str">
            <v>A</v>
          </cell>
        </row>
      </sheetData>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row r="9">
          <cell r="A9" t="str">
            <v>A</v>
          </cell>
        </row>
      </sheetData>
      <sheetData sheetId="2833"/>
      <sheetData sheetId="2834"/>
      <sheetData sheetId="2835"/>
      <sheetData sheetId="2836">
        <row r="9">
          <cell r="A9" t="str">
            <v>A</v>
          </cell>
        </row>
      </sheetData>
      <sheetData sheetId="2837">
        <row r="9">
          <cell r="A9" t="str">
            <v>A</v>
          </cell>
        </row>
      </sheetData>
      <sheetData sheetId="2838"/>
      <sheetData sheetId="2839"/>
      <sheetData sheetId="2840"/>
      <sheetData sheetId="2841"/>
      <sheetData sheetId="2842">
        <row r="9">
          <cell r="A9" t="str">
            <v>A</v>
          </cell>
        </row>
      </sheetData>
      <sheetData sheetId="2843"/>
      <sheetData sheetId="2844"/>
      <sheetData sheetId="2845"/>
      <sheetData sheetId="2846"/>
      <sheetData sheetId="2847"/>
      <sheetData sheetId="2848"/>
      <sheetData sheetId="2849"/>
      <sheetData sheetId="2850"/>
      <sheetData sheetId="2851">
        <row r="9">
          <cell r="A9" t="str">
            <v>A</v>
          </cell>
        </row>
      </sheetData>
      <sheetData sheetId="2852">
        <row r="9">
          <cell r="A9" t="str">
            <v>A</v>
          </cell>
        </row>
      </sheetData>
      <sheetData sheetId="2853"/>
      <sheetData sheetId="2854">
        <row r="9">
          <cell r="A9" t="str">
            <v>A</v>
          </cell>
        </row>
      </sheetData>
      <sheetData sheetId="2855"/>
      <sheetData sheetId="2856">
        <row r="9">
          <cell r="A9" t="str">
            <v>A</v>
          </cell>
        </row>
      </sheetData>
      <sheetData sheetId="2857"/>
      <sheetData sheetId="2858"/>
      <sheetData sheetId="2859"/>
      <sheetData sheetId="2860"/>
      <sheetData sheetId="2861"/>
      <sheetData sheetId="2862"/>
      <sheetData sheetId="2863"/>
      <sheetData sheetId="2864"/>
      <sheetData sheetId="2865"/>
      <sheetData sheetId="2866">
        <row r="9">
          <cell r="A9" t="str">
            <v>A</v>
          </cell>
        </row>
      </sheetData>
      <sheetData sheetId="2867"/>
      <sheetData sheetId="2868">
        <row r="9">
          <cell r="A9" t="str">
            <v>A</v>
          </cell>
        </row>
      </sheetData>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row r="9">
          <cell r="A9" t="str">
            <v>A</v>
          </cell>
        </row>
      </sheetData>
      <sheetData sheetId="2893"/>
      <sheetData sheetId="2894"/>
      <sheetData sheetId="2895"/>
      <sheetData sheetId="2896"/>
      <sheetData sheetId="2897"/>
      <sheetData sheetId="2898">
        <row r="9">
          <cell r="A9" t="str">
            <v>A</v>
          </cell>
        </row>
      </sheetData>
      <sheetData sheetId="2899"/>
      <sheetData sheetId="2900"/>
      <sheetData sheetId="2901"/>
      <sheetData sheetId="2902"/>
      <sheetData sheetId="2903"/>
      <sheetData sheetId="2904"/>
      <sheetData sheetId="2905"/>
      <sheetData sheetId="2906"/>
      <sheetData sheetId="2907">
        <row r="9">
          <cell r="A9" t="str">
            <v>A</v>
          </cell>
        </row>
      </sheetData>
      <sheetData sheetId="2908"/>
      <sheetData sheetId="2909"/>
      <sheetData sheetId="2910"/>
      <sheetData sheetId="2911"/>
      <sheetData sheetId="2912">
        <row r="9">
          <cell r="A9" t="str">
            <v>A</v>
          </cell>
        </row>
      </sheetData>
      <sheetData sheetId="2913"/>
      <sheetData sheetId="2914">
        <row r="9">
          <cell r="A9" t="str">
            <v>A</v>
          </cell>
        </row>
      </sheetData>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row r="9">
          <cell r="A9" t="str">
            <v>A</v>
          </cell>
        </row>
      </sheetData>
      <sheetData sheetId="3119"/>
      <sheetData sheetId="3120"/>
      <sheetData sheetId="3121">
        <row r="9">
          <cell r="A9" t="str">
            <v>A</v>
          </cell>
        </row>
      </sheetData>
      <sheetData sheetId="3122"/>
      <sheetData sheetId="3123"/>
      <sheetData sheetId="3124"/>
      <sheetData sheetId="3125"/>
      <sheetData sheetId="3126"/>
      <sheetData sheetId="3127"/>
      <sheetData sheetId="3128" refreshError="1"/>
      <sheetData sheetId="3129" refreshError="1"/>
      <sheetData sheetId="3130"/>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refreshError="1"/>
      <sheetData sheetId="3150" refreshError="1"/>
      <sheetData sheetId="3151" refreshError="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refreshError="1"/>
      <sheetData sheetId="3178">
        <row r="9">
          <cell r="A9" t="str">
            <v>A</v>
          </cell>
        </row>
      </sheetData>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row r="9">
          <cell r="A9" t="str">
            <v>A</v>
          </cell>
        </row>
      </sheetData>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row r="9">
          <cell r="A9" t="str">
            <v>A</v>
          </cell>
        </row>
      </sheetData>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row r="9">
          <cell r="A9" t="str">
            <v>A</v>
          </cell>
        </row>
      </sheetData>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row r="9">
          <cell r="A9" t="str">
            <v>A</v>
          </cell>
        </row>
      </sheetData>
      <sheetData sheetId="3484"/>
      <sheetData sheetId="3485"/>
      <sheetData sheetId="3486"/>
      <sheetData sheetId="3487"/>
      <sheetData sheetId="3488"/>
      <sheetData sheetId="3489"/>
      <sheetData sheetId="3490"/>
      <sheetData sheetId="3491"/>
      <sheetData sheetId="3492"/>
      <sheetData sheetId="3493"/>
      <sheetData sheetId="3494">
        <row r="9">
          <cell r="A9" t="str">
            <v>A</v>
          </cell>
        </row>
      </sheetData>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sheetData sheetId="3504"/>
      <sheetData sheetId="3505"/>
      <sheetData sheetId="3506" refreshError="1"/>
      <sheetData sheetId="3507" refreshError="1"/>
      <sheetData sheetId="3508" refreshError="1"/>
      <sheetData sheetId="3509" refreshError="1"/>
      <sheetData sheetId="3510"/>
      <sheetData sheetId="3511"/>
      <sheetData sheetId="3512" refreshError="1"/>
      <sheetData sheetId="3513"/>
      <sheetData sheetId="3514"/>
      <sheetData sheetId="3515"/>
      <sheetData sheetId="3516"/>
      <sheetData sheetId="3517"/>
      <sheetData sheetId="3518"/>
      <sheetData sheetId="3519"/>
      <sheetData sheetId="3520"/>
      <sheetData sheetId="3521"/>
      <sheetData sheetId="3522"/>
      <sheetData sheetId="3523">
        <row r="9">
          <cell r="A9" t="str">
            <v>A</v>
          </cell>
        </row>
      </sheetData>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row r="9">
          <cell r="A9" t="str">
            <v>A</v>
          </cell>
        </row>
      </sheetData>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sheetData sheetId="3634"/>
      <sheetData sheetId="3635"/>
      <sheetData sheetId="3636"/>
      <sheetData sheetId="3637" refreshError="1"/>
      <sheetData sheetId="3638" refreshError="1"/>
      <sheetData sheetId="3639" refreshError="1"/>
      <sheetData sheetId="3640" refreshError="1"/>
      <sheetData sheetId="3641" refreshError="1"/>
      <sheetData sheetId="3642"/>
      <sheetData sheetId="3643"/>
      <sheetData sheetId="3644"/>
      <sheetData sheetId="3645"/>
      <sheetData sheetId="3646" refreshError="1"/>
      <sheetData sheetId="3647" refreshError="1"/>
      <sheetData sheetId="3648" refreshError="1"/>
      <sheetData sheetId="3649"/>
      <sheetData sheetId="3650"/>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sheetData sheetId="3688"/>
      <sheetData sheetId="3689"/>
      <sheetData sheetId="3690">
        <row r="9">
          <cell r="A9" t="str">
            <v>A</v>
          </cell>
        </row>
      </sheetData>
      <sheetData sheetId="3691"/>
      <sheetData sheetId="3692"/>
      <sheetData sheetId="3693"/>
      <sheetData sheetId="3694"/>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sheetData sheetId="3707"/>
      <sheetData sheetId="3708"/>
      <sheetData sheetId="3709" refreshError="1"/>
      <sheetData sheetId="3710" refreshError="1"/>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row r="9">
          <cell r="A9" t="str">
            <v>A</v>
          </cell>
        </row>
      </sheetData>
      <sheetData sheetId="3767">
        <row r="9">
          <cell r="A9" t="str">
            <v>A</v>
          </cell>
        </row>
      </sheetData>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row r="9">
          <cell r="A9" t="str">
            <v>A</v>
          </cell>
        </row>
      </sheetData>
      <sheetData sheetId="3785"/>
      <sheetData sheetId="3786"/>
      <sheetData sheetId="3787">
        <row r="9">
          <cell r="A9" t="str">
            <v>A</v>
          </cell>
        </row>
      </sheetData>
      <sheetData sheetId="3788">
        <row r="9">
          <cell r="A9" t="str">
            <v>A</v>
          </cell>
        </row>
      </sheetData>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row r="9">
          <cell r="A9" t="str">
            <v>A</v>
          </cell>
        </row>
      </sheetData>
      <sheetData sheetId="3805">
        <row r="9">
          <cell r="A9" t="str">
            <v>A</v>
          </cell>
        </row>
      </sheetData>
      <sheetData sheetId="3806"/>
      <sheetData sheetId="3807"/>
      <sheetData sheetId="3808"/>
      <sheetData sheetId="3809"/>
      <sheetData sheetId="3810"/>
      <sheetData sheetId="3811"/>
      <sheetData sheetId="3812"/>
      <sheetData sheetId="3813">
        <row r="9">
          <cell r="A9" t="str">
            <v>A</v>
          </cell>
        </row>
      </sheetData>
      <sheetData sheetId="3814">
        <row r="9">
          <cell r="A9" t="str">
            <v>A</v>
          </cell>
        </row>
      </sheetData>
      <sheetData sheetId="3815">
        <row r="9">
          <cell r="A9" t="str">
            <v>A</v>
          </cell>
        </row>
      </sheetData>
      <sheetData sheetId="3816"/>
      <sheetData sheetId="3817"/>
      <sheetData sheetId="3818"/>
      <sheetData sheetId="3819"/>
      <sheetData sheetId="3820"/>
      <sheetData sheetId="3821"/>
      <sheetData sheetId="3822"/>
      <sheetData sheetId="3823"/>
      <sheetData sheetId="3824"/>
      <sheetData sheetId="3825">
        <row r="9">
          <cell r="A9" t="str">
            <v>A</v>
          </cell>
        </row>
      </sheetData>
      <sheetData sheetId="3826"/>
      <sheetData sheetId="3827"/>
      <sheetData sheetId="3828"/>
      <sheetData sheetId="3829"/>
      <sheetData sheetId="3830"/>
      <sheetData sheetId="3831"/>
      <sheetData sheetId="3832"/>
      <sheetData sheetId="3833">
        <row r="9">
          <cell r="A9" t="str">
            <v>A</v>
          </cell>
        </row>
      </sheetData>
      <sheetData sheetId="3834">
        <row r="9">
          <cell r="A9" t="str">
            <v>A</v>
          </cell>
        </row>
      </sheetData>
      <sheetData sheetId="3835">
        <row r="9">
          <cell r="A9" t="str">
            <v>A</v>
          </cell>
        </row>
      </sheetData>
      <sheetData sheetId="3836">
        <row r="9">
          <cell r="A9" t="str">
            <v>A</v>
          </cell>
        </row>
      </sheetData>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row r="9">
          <cell r="A9" t="str">
            <v>A</v>
          </cell>
        </row>
      </sheetData>
      <sheetData sheetId="3855">
        <row r="9">
          <cell r="A9" t="str">
            <v>A</v>
          </cell>
        </row>
      </sheetData>
      <sheetData sheetId="3856">
        <row r="9">
          <cell r="A9" t="str">
            <v>A</v>
          </cell>
        </row>
      </sheetData>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row r="9">
          <cell r="A9" t="str">
            <v>A</v>
          </cell>
        </row>
      </sheetData>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row r="9">
          <cell r="A9" t="str">
            <v>A</v>
          </cell>
        </row>
      </sheetData>
      <sheetData sheetId="3935">
        <row r="9">
          <cell r="A9" t="str">
            <v>A</v>
          </cell>
        </row>
      </sheetData>
      <sheetData sheetId="3936"/>
      <sheetData sheetId="3937">
        <row r="9">
          <cell r="A9" t="str">
            <v>A</v>
          </cell>
        </row>
      </sheetData>
      <sheetData sheetId="3938">
        <row r="9">
          <cell r="A9" t="str">
            <v>A</v>
          </cell>
        </row>
      </sheetData>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row r="9">
          <cell r="A9" t="str">
            <v>A</v>
          </cell>
        </row>
      </sheetData>
      <sheetData sheetId="3956">
        <row r="9">
          <cell r="A9" t="str">
            <v>A</v>
          </cell>
        </row>
      </sheetData>
      <sheetData sheetId="3957"/>
      <sheetData sheetId="3958">
        <row r="9">
          <cell r="A9" t="str">
            <v>A</v>
          </cell>
        </row>
      </sheetData>
      <sheetData sheetId="3959">
        <row r="9">
          <cell r="A9" t="str">
            <v>A</v>
          </cell>
        </row>
      </sheetData>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refreshError="1"/>
      <sheetData sheetId="4024" refreshError="1"/>
      <sheetData sheetId="4025" refreshError="1"/>
      <sheetData sheetId="4026" refreshError="1"/>
      <sheetData sheetId="4027" refreshError="1"/>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row r="9">
          <cell r="A9" t="str">
            <v>A</v>
          </cell>
        </row>
      </sheetData>
      <sheetData sheetId="4083">
        <row r="9">
          <cell r="A9" t="str">
            <v>A</v>
          </cell>
        </row>
      </sheetData>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row r="9">
          <cell r="A9" t="str">
            <v>A</v>
          </cell>
        </row>
      </sheetData>
      <sheetData sheetId="4104">
        <row r="9">
          <cell r="A9" t="str">
            <v>A</v>
          </cell>
        </row>
      </sheetData>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row r="9">
          <cell r="A9" t="str">
            <v>A</v>
          </cell>
        </row>
      </sheetData>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row r="9">
          <cell r="A9" t="str">
            <v>A</v>
          </cell>
        </row>
      </sheetData>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row r="9">
          <cell r="A9" t="str">
            <v>A</v>
          </cell>
        </row>
      </sheetData>
      <sheetData sheetId="4643"/>
      <sheetData sheetId="4644"/>
      <sheetData sheetId="4645"/>
      <sheetData sheetId="4646"/>
      <sheetData sheetId="4647"/>
      <sheetData sheetId="4648"/>
      <sheetData sheetId="4649"/>
      <sheetData sheetId="4650"/>
      <sheetData sheetId="4651"/>
      <sheetData sheetId="4652">
        <row r="9">
          <cell r="A9" t="str">
            <v>A</v>
          </cell>
        </row>
      </sheetData>
      <sheetData sheetId="4653"/>
      <sheetData sheetId="4654"/>
      <sheetData sheetId="4655"/>
      <sheetData sheetId="4656"/>
      <sheetData sheetId="4657"/>
      <sheetData sheetId="4658"/>
      <sheetData sheetId="4659"/>
      <sheetData sheetId="4660"/>
      <sheetData sheetId="4661"/>
      <sheetData sheetId="4662"/>
      <sheetData sheetId="4663">
        <row r="9">
          <cell r="A9" t="str">
            <v>A</v>
          </cell>
        </row>
      </sheetData>
      <sheetData sheetId="4664"/>
      <sheetData sheetId="4665"/>
      <sheetData sheetId="4666"/>
      <sheetData sheetId="4667"/>
      <sheetData sheetId="4668"/>
      <sheetData sheetId="4669"/>
      <sheetData sheetId="4670"/>
      <sheetData sheetId="4671"/>
      <sheetData sheetId="4672"/>
      <sheetData sheetId="4673">
        <row r="9">
          <cell r="A9" t="str">
            <v>A</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refreshError="1"/>
      <sheetData sheetId="4731" refreshError="1"/>
      <sheetData sheetId="4732" refreshError="1"/>
      <sheetData sheetId="4733" refreshError="1"/>
      <sheetData sheetId="4734" refreshError="1"/>
      <sheetData sheetId="4735" refreshError="1"/>
      <sheetData sheetId="4736" refreshError="1"/>
      <sheetData sheetId="4737"/>
      <sheetData sheetId="4738"/>
      <sheetData sheetId="4739"/>
      <sheetData sheetId="4740"/>
      <sheetData sheetId="4741"/>
      <sheetData sheetId="4742"/>
      <sheetData sheetId="4743"/>
      <sheetData sheetId="4744"/>
      <sheetData sheetId="4745"/>
      <sheetData sheetId="4746"/>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row r="9">
          <cell r="A9" t="str">
            <v>A</v>
          </cell>
        </row>
      </sheetData>
      <sheetData sheetId="4773">
        <row r="9">
          <cell r="A9" t="str">
            <v>A</v>
          </cell>
        </row>
      </sheetData>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ow r="9">
          <cell r="A9" t="str">
            <v>A</v>
          </cell>
        </row>
      </sheetData>
      <sheetData sheetId="4794">
        <row r="9">
          <cell r="A9" t="str">
            <v>A</v>
          </cell>
        </row>
      </sheetData>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row r="9">
          <cell r="A9" t="str">
            <v>A</v>
          </cell>
        </row>
      </sheetData>
      <sheetData sheetId="4815">
        <row r="9">
          <cell r="A9" t="str">
            <v>A</v>
          </cell>
        </row>
      </sheetData>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row r="9">
          <cell r="A9" t="str">
            <v>A</v>
          </cell>
        </row>
      </sheetData>
      <sheetData sheetId="4836">
        <row r="9">
          <cell r="A9" t="str">
            <v>A</v>
          </cell>
        </row>
      </sheetData>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row r="9">
          <cell r="A9" t="str">
            <v>A</v>
          </cell>
        </row>
      </sheetData>
      <sheetData sheetId="4857">
        <row r="9">
          <cell r="A9" t="str">
            <v>A</v>
          </cell>
        </row>
      </sheetData>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refreshError="1"/>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row r="9">
          <cell r="A9" t="str">
            <v>A</v>
          </cell>
        </row>
      </sheetData>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sheetData sheetId="6925"/>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row r="9">
          <cell r="A9" t="str">
            <v>A</v>
          </cell>
        </row>
      </sheetData>
      <sheetData sheetId="7551">
        <row r="9">
          <cell r="A9" t="str">
            <v>A</v>
          </cell>
        </row>
      </sheetData>
      <sheetData sheetId="7552">
        <row r="9">
          <cell r="A9" t="str">
            <v>A</v>
          </cell>
        </row>
      </sheetData>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row r="9">
          <cell r="A9" t="str">
            <v>A</v>
          </cell>
        </row>
      </sheetData>
      <sheetData sheetId="7572">
        <row r="9">
          <cell r="A9" t="str">
            <v>A</v>
          </cell>
        </row>
      </sheetData>
      <sheetData sheetId="7573">
        <row r="9">
          <cell r="A9" t="str">
            <v>A</v>
          </cell>
        </row>
      </sheetData>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row r="9">
          <cell r="A9" t="str">
            <v>A</v>
          </cell>
        </row>
      </sheetData>
      <sheetData sheetId="7593">
        <row r="9">
          <cell r="A9" t="str">
            <v>A</v>
          </cell>
        </row>
      </sheetData>
      <sheetData sheetId="7594">
        <row r="9">
          <cell r="A9" t="str">
            <v>A</v>
          </cell>
        </row>
      </sheetData>
      <sheetData sheetId="7595"/>
      <sheetData sheetId="7596"/>
      <sheetData sheetId="7597"/>
      <sheetData sheetId="7598"/>
      <sheetData sheetId="7599"/>
      <sheetData sheetId="7600"/>
      <sheetData sheetId="7601">
        <row r="9">
          <cell r="A9" t="str">
            <v>A</v>
          </cell>
        </row>
      </sheetData>
      <sheetData sheetId="7602">
        <row r="9">
          <cell r="A9" t="str">
            <v>A</v>
          </cell>
        </row>
      </sheetData>
      <sheetData sheetId="7603">
        <row r="9">
          <cell r="A9" t="str">
            <v>A</v>
          </cell>
        </row>
      </sheetData>
      <sheetData sheetId="7604"/>
      <sheetData sheetId="7605"/>
      <sheetData sheetId="7606"/>
      <sheetData sheetId="7607"/>
      <sheetData sheetId="7608"/>
      <sheetData sheetId="7609">
        <row r="9">
          <cell r="A9" t="str">
            <v>A</v>
          </cell>
        </row>
      </sheetData>
      <sheetData sheetId="7610">
        <row r="9">
          <cell r="A9" t="str">
            <v>A</v>
          </cell>
        </row>
      </sheetData>
      <sheetData sheetId="7611">
        <row r="9">
          <cell r="A9" t="str">
            <v>A</v>
          </cell>
        </row>
      </sheetData>
      <sheetData sheetId="7612">
        <row r="9">
          <cell r="A9" t="str">
            <v>A</v>
          </cell>
        </row>
      </sheetData>
      <sheetData sheetId="7613">
        <row r="9">
          <cell r="A9" t="str">
            <v>A</v>
          </cell>
        </row>
      </sheetData>
      <sheetData sheetId="7614"/>
      <sheetData sheetId="7615"/>
      <sheetData sheetId="7616"/>
      <sheetData sheetId="7617"/>
      <sheetData sheetId="7618"/>
      <sheetData sheetId="7619"/>
      <sheetData sheetId="7620"/>
      <sheetData sheetId="7621"/>
      <sheetData sheetId="7622">
        <row r="9">
          <cell r="A9" t="str">
            <v>A</v>
          </cell>
        </row>
      </sheetData>
      <sheetData sheetId="7623">
        <row r="9">
          <cell r="A9" t="str">
            <v>A</v>
          </cell>
        </row>
      </sheetData>
      <sheetData sheetId="7624">
        <row r="9">
          <cell r="A9" t="str">
            <v>A</v>
          </cell>
        </row>
      </sheetData>
      <sheetData sheetId="7625"/>
      <sheetData sheetId="7626"/>
      <sheetData sheetId="7627"/>
      <sheetData sheetId="7628"/>
      <sheetData sheetId="7629"/>
      <sheetData sheetId="7630">
        <row r="9">
          <cell r="A9" t="str">
            <v>A</v>
          </cell>
        </row>
      </sheetData>
      <sheetData sheetId="7631">
        <row r="9">
          <cell r="A9" t="str">
            <v>A</v>
          </cell>
        </row>
      </sheetData>
      <sheetData sheetId="7632">
        <row r="9">
          <cell r="A9" t="str">
            <v>A</v>
          </cell>
        </row>
      </sheetData>
      <sheetData sheetId="7633">
        <row r="9">
          <cell r="A9" t="str">
            <v>A</v>
          </cell>
        </row>
      </sheetData>
      <sheetData sheetId="7634">
        <row r="9">
          <cell r="A9" t="str">
            <v>A</v>
          </cell>
        </row>
      </sheetData>
      <sheetData sheetId="7635">
        <row r="9">
          <cell r="A9" t="str">
            <v>A</v>
          </cell>
        </row>
      </sheetData>
      <sheetData sheetId="7636">
        <row r="9">
          <cell r="A9" t="str">
            <v>A</v>
          </cell>
        </row>
      </sheetData>
      <sheetData sheetId="7637">
        <row r="9">
          <cell r="A9" t="str">
            <v>A</v>
          </cell>
        </row>
      </sheetData>
      <sheetData sheetId="7638"/>
      <sheetData sheetId="7639">
        <row r="9">
          <cell r="A9" t="str">
            <v>A</v>
          </cell>
        </row>
      </sheetData>
      <sheetData sheetId="7640">
        <row r="9">
          <cell r="A9" t="str">
            <v>A</v>
          </cell>
        </row>
      </sheetData>
      <sheetData sheetId="7641">
        <row r="9">
          <cell r="A9" t="str">
            <v>A</v>
          </cell>
        </row>
      </sheetData>
      <sheetData sheetId="7642"/>
      <sheetData sheetId="7643">
        <row r="9">
          <cell r="A9" t="str">
            <v>A</v>
          </cell>
        </row>
      </sheetData>
      <sheetData sheetId="7644">
        <row r="9">
          <cell r="A9" t="str">
            <v>A</v>
          </cell>
        </row>
      </sheetData>
      <sheetData sheetId="7645">
        <row r="9">
          <cell r="A9" t="str">
            <v>A</v>
          </cell>
        </row>
      </sheetData>
      <sheetData sheetId="7646"/>
      <sheetData sheetId="7647">
        <row r="9">
          <cell r="A9" t="str">
            <v>A</v>
          </cell>
        </row>
      </sheetData>
      <sheetData sheetId="7648">
        <row r="9">
          <cell r="A9" t="str">
            <v>A</v>
          </cell>
        </row>
      </sheetData>
      <sheetData sheetId="7649">
        <row r="9">
          <cell r="A9" t="str">
            <v>A</v>
          </cell>
        </row>
      </sheetData>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ow r="9">
          <cell r="A9" t="str">
            <v>A</v>
          </cell>
        </row>
      </sheetData>
      <sheetData sheetId="7662">
        <row r="9">
          <cell r="A9" t="str">
            <v>A</v>
          </cell>
        </row>
      </sheetData>
      <sheetData sheetId="7663"/>
      <sheetData sheetId="7664">
        <row r="9">
          <cell r="A9" t="str">
            <v>A</v>
          </cell>
        </row>
      </sheetData>
      <sheetData sheetId="7665">
        <row r="9">
          <cell r="A9" t="str">
            <v>A</v>
          </cell>
        </row>
      </sheetData>
      <sheetData sheetId="7666">
        <row r="9">
          <cell r="A9" t="str">
            <v>A</v>
          </cell>
        </row>
      </sheetData>
      <sheetData sheetId="7667">
        <row r="9">
          <cell r="A9" t="str">
            <v>A</v>
          </cell>
        </row>
      </sheetData>
      <sheetData sheetId="7668">
        <row r="9">
          <cell r="A9" t="str">
            <v>A</v>
          </cell>
        </row>
      </sheetData>
      <sheetData sheetId="7669">
        <row r="9">
          <cell r="A9" t="str">
            <v>A</v>
          </cell>
        </row>
      </sheetData>
      <sheetData sheetId="7670">
        <row r="9">
          <cell r="A9" t="str">
            <v>A</v>
          </cell>
        </row>
      </sheetData>
      <sheetData sheetId="7671"/>
      <sheetData sheetId="7672"/>
      <sheetData sheetId="7673">
        <row r="9">
          <cell r="A9" t="str">
            <v>A</v>
          </cell>
        </row>
      </sheetData>
      <sheetData sheetId="7674">
        <row r="9">
          <cell r="A9" t="str">
            <v>A</v>
          </cell>
        </row>
      </sheetData>
      <sheetData sheetId="7675"/>
      <sheetData sheetId="7676"/>
      <sheetData sheetId="7677" refreshError="1"/>
      <sheetData sheetId="7678" refreshError="1"/>
      <sheetData sheetId="7679" refreshError="1"/>
      <sheetData sheetId="7680"/>
      <sheetData sheetId="768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ow r="9">
          <cell r="A9" t="str">
            <v>A</v>
          </cell>
        </row>
      </sheetData>
      <sheetData sheetId="7694">
        <row r="9">
          <cell r="A9" t="str">
            <v>A</v>
          </cell>
        </row>
      </sheetData>
      <sheetData sheetId="7695">
        <row r="9">
          <cell r="A9" t="str">
            <v>A</v>
          </cell>
        </row>
      </sheetData>
      <sheetData sheetId="7696">
        <row r="9">
          <cell r="A9" t="str">
            <v>A</v>
          </cell>
        </row>
      </sheetData>
      <sheetData sheetId="7697">
        <row r="9">
          <cell r="A9" t="str">
            <v>A</v>
          </cell>
        </row>
      </sheetData>
      <sheetData sheetId="7698">
        <row r="9">
          <cell r="A9" t="str">
            <v>A</v>
          </cell>
        </row>
      </sheetData>
      <sheetData sheetId="7699">
        <row r="9">
          <cell r="A9" t="str">
            <v>A</v>
          </cell>
        </row>
      </sheetData>
      <sheetData sheetId="7700">
        <row r="9">
          <cell r="A9" t="str">
            <v>A</v>
          </cell>
        </row>
      </sheetData>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row r="9">
          <cell r="A9" t="str">
            <v>A</v>
          </cell>
        </row>
      </sheetData>
      <sheetData sheetId="7719">
        <row r="9">
          <cell r="A9" t="str">
            <v>A</v>
          </cell>
        </row>
      </sheetData>
      <sheetData sheetId="7720"/>
      <sheetData sheetId="7721">
        <row r="9">
          <cell r="A9" t="str">
            <v>A</v>
          </cell>
        </row>
      </sheetData>
      <sheetData sheetId="7722">
        <row r="9">
          <cell r="A9" t="str">
            <v>A</v>
          </cell>
        </row>
      </sheetData>
      <sheetData sheetId="7723">
        <row r="9">
          <cell r="A9" t="str">
            <v>A</v>
          </cell>
        </row>
      </sheetData>
      <sheetData sheetId="7724">
        <row r="9">
          <cell r="A9" t="str">
            <v>A</v>
          </cell>
        </row>
      </sheetData>
      <sheetData sheetId="7725">
        <row r="9">
          <cell r="A9" t="str">
            <v>A</v>
          </cell>
        </row>
      </sheetData>
      <sheetData sheetId="7726"/>
      <sheetData sheetId="7727"/>
      <sheetData sheetId="7728"/>
      <sheetData sheetId="7729"/>
      <sheetData sheetId="7730"/>
      <sheetData sheetId="7731"/>
      <sheetData sheetId="7732"/>
      <sheetData sheetId="7733"/>
      <sheetData sheetId="7734"/>
      <sheetData sheetId="7735"/>
      <sheetData sheetId="7736"/>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ow r="9">
          <cell r="A9" t="str">
            <v>A</v>
          </cell>
        </row>
      </sheetData>
      <sheetData sheetId="7795">
        <row r="9">
          <cell r="A9" t="str">
            <v>A</v>
          </cell>
        </row>
      </sheetData>
      <sheetData sheetId="7796">
        <row r="9">
          <cell r="A9" t="str">
            <v>A</v>
          </cell>
        </row>
      </sheetData>
      <sheetData sheetId="7797">
        <row r="9">
          <cell r="A9" t="str">
            <v>A</v>
          </cell>
        </row>
      </sheetData>
      <sheetData sheetId="7798">
        <row r="9">
          <cell r="A9" t="str">
            <v>A</v>
          </cell>
        </row>
      </sheetData>
      <sheetData sheetId="7799">
        <row r="9">
          <cell r="A9" t="str">
            <v>A</v>
          </cell>
        </row>
      </sheetData>
      <sheetData sheetId="7800">
        <row r="9">
          <cell r="A9" t="str">
            <v>A</v>
          </cell>
        </row>
      </sheetData>
      <sheetData sheetId="7801">
        <row r="9">
          <cell r="A9" t="str">
            <v>A</v>
          </cell>
        </row>
      </sheetData>
      <sheetData sheetId="7802">
        <row r="9">
          <cell r="A9" t="str">
            <v>A</v>
          </cell>
        </row>
      </sheetData>
      <sheetData sheetId="7803">
        <row r="9">
          <cell r="A9" t="str">
            <v>A</v>
          </cell>
        </row>
      </sheetData>
      <sheetData sheetId="7804">
        <row r="9">
          <cell r="A9" t="str">
            <v>A</v>
          </cell>
        </row>
      </sheetData>
      <sheetData sheetId="7805">
        <row r="9">
          <cell r="A9" t="str">
            <v>A</v>
          </cell>
        </row>
      </sheetData>
      <sheetData sheetId="7806">
        <row r="9">
          <cell r="A9" t="str">
            <v>A</v>
          </cell>
        </row>
      </sheetData>
      <sheetData sheetId="7807">
        <row r="9">
          <cell r="A9" t="str">
            <v>A</v>
          </cell>
        </row>
      </sheetData>
      <sheetData sheetId="7808">
        <row r="9">
          <cell r="A9" t="str">
            <v>A</v>
          </cell>
        </row>
      </sheetData>
      <sheetData sheetId="7809">
        <row r="9">
          <cell r="A9" t="str">
            <v>A</v>
          </cell>
        </row>
      </sheetData>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ow r="9">
          <cell r="A9" t="str">
            <v>A</v>
          </cell>
        </row>
      </sheetData>
      <sheetData sheetId="7820">
        <row r="9">
          <cell r="A9" t="str">
            <v>A</v>
          </cell>
        </row>
      </sheetData>
      <sheetData sheetId="7821">
        <row r="9">
          <cell r="A9" t="str">
            <v>A</v>
          </cell>
        </row>
      </sheetData>
      <sheetData sheetId="7822">
        <row r="9">
          <cell r="A9" t="str">
            <v>A</v>
          </cell>
        </row>
      </sheetData>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efreshError="1"/>
      <sheetData sheetId="7842" refreshError="1"/>
      <sheetData sheetId="7843" refreshError="1"/>
      <sheetData sheetId="7844">
        <row r="9">
          <cell r="A9" t="str">
            <v>A</v>
          </cell>
        </row>
      </sheetData>
      <sheetData sheetId="7845">
        <row r="9">
          <cell r="A9" t="str">
            <v>A</v>
          </cell>
        </row>
      </sheetData>
      <sheetData sheetId="7846" refreshError="1"/>
      <sheetData sheetId="7847" refreshError="1"/>
      <sheetData sheetId="7848" refreshError="1"/>
      <sheetData sheetId="7849" refreshError="1"/>
      <sheetData sheetId="7850">
        <row r="9">
          <cell r="A9" t="str">
            <v>A</v>
          </cell>
        </row>
      </sheetData>
      <sheetData sheetId="7851">
        <row r="9">
          <cell r="A9" t="str">
            <v>A</v>
          </cell>
        </row>
      </sheetData>
      <sheetData sheetId="7852">
        <row r="9">
          <cell r="A9" t="str">
            <v>A</v>
          </cell>
        </row>
      </sheetData>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sheetData sheetId="7902"/>
      <sheetData sheetId="7903">
        <row r="9">
          <cell r="A9" t="str">
            <v>A</v>
          </cell>
        </row>
      </sheetData>
      <sheetData sheetId="7904">
        <row r="9">
          <cell r="A9" t="str">
            <v>A</v>
          </cell>
        </row>
      </sheetData>
      <sheetData sheetId="7905">
        <row r="9">
          <cell r="A9" t="str">
            <v>A</v>
          </cell>
        </row>
      </sheetData>
      <sheetData sheetId="7906">
        <row r="9">
          <cell r="A9" t="str">
            <v>A</v>
          </cell>
        </row>
      </sheetData>
      <sheetData sheetId="7907">
        <row r="9">
          <cell r="A9" t="str">
            <v>A</v>
          </cell>
        </row>
      </sheetData>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ow r="9">
          <cell r="A9" t="str">
            <v>A</v>
          </cell>
        </row>
      </sheetData>
      <sheetData sheetId="7940">
        <row r="9">
          <cell r="A9" t="str">
            <v>A</v>
          </cell>
        </row>
      </sheetData>
      <sheetData sheetId="7941" refreshError="1"/>
      <sheetData sheetId="7942">
        <row r="9">
          <cell r="A9" t="str">
            <v>A</v>
          </cell>
        </row>
      </sheetData>
      <sheetData sheetId="7943">
        <row r="9">
          <cell r="A9" t="str">
            <v>A</v>
          </cell>
        </row>
      </sheetData>
      <sheetData sheetId="7944" refreshError="1"/>
      <sheetData sheetId="7945">
        <row r="9">
          <cell r="A9" t="str">
            <v>A</v>
          </cell>
        </row>
      </sheetData>
      <sheetData sheetId="7946"/>
      <sheetData sheetId="7947"/>
      <sheetData sheetId="7948"/>
      <sheetData sheetId="7949"/>
      <sheetData sheetId="7950"/>
      <sheetData sheetId="7951"/>
      <sheetData sheetId="7952" refreshError="1"/>
      <sheetData sheetId="7953" refreshError="1"/>
      <sheetData sheetId="7954" refreshError="1"/>
      <sheetData sheetId="7955" refreshError="1"/>
      <sheetData sheetId="7956" refreshError="1"/>
      <sheetData sheetId="7957" refreshError="1"/>
      <sheetData sheetId="7958">
        <row r="9">
          <cell r="A9" t="str">
            <v>A</v>
          </cell>
        </row>
      </sheetData>
      <sheetData sheetId="7959">
        <row r="9">
          <cell r="A9" t="str">
            <v>A</v>
          </cell>
        </row>
      </sheetData>
      <sheetData sheetId="7960" refreshError="1"/>
      <sheetData sheetId="7961" refreshError="1"/>
      <sheetData sheetId="7962" refreshError="1"/>
      <sheetData sheetId="7963" refreshError="1"/>
      <sheetData sheetId="7964" refreshError="1"/>
      <sheetData sheetId="7965"/>
      <sheetData sheetId="7966"/>
      <sheetData sheetId="7967" refreshError="1"/>
      <sheetData sheetId="7968" refreshError="1"/>
      <sheetData sheetId="7969" refreshError="1"/>
      <sheetData sheetId="7970" refreshError="1"/>
      <sheetData sheetId="7971" refreshError="1"/>
      <sheetData sheetId="7972"/>
      <sheetData sheetId="7973"/>
      <sheetData sheetId="7974"/>
      <sheetData sheetId="7975"/>
      <sheetData sheetId="7976"/>
      <sheetData sheetId="7977"/>
      <sheetData sheetId="7978"/>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sheetData sheetId="7985">
        <row r="9">
          <cell r="A9" t="str">
            <v>A</v>
          </cell>
        </row>
      </sheetData>
      <sheetData sheetId="7986">
        <row r="9">
          <cell r="A9" t="str">
            <v>A</v>
          </cell>
        </row>
      </sheetData>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row r="9">
          <cell r="A9" t="str">
            <v>A</v>
          </cell>
        </row>
      </sheetData>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row r="9">
          <cell r="A9" t="str">
            <v>A</v>
          </cell>
        </row>
      </sheetData>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sheetData sheetId="8032"/>
      <sheetData sheetId="8033" refreshError="1"/>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refreshError="1"/>
      <sheetData sheetId="8048"/>
      <sheetData sheetId="8049"/>
      <sheetData sheetId="8050">
        <row r="9">
          <cell r="A9" t="str">
            <v>A</v>
          </cell>
        </row>
      </sheetData>
      <sheetData sheetId="8051">
        <row r="9">
          <cell r="A9" t="str">
            <v>A</v>
          </cell>
        </row>
      </sheetData>
      <sheetData sheetId="8052">
        <row r="9">
          <cell r="A9" t="str">
            <v>A</v>
          </cell>
        </row>
      </sheetData>
      <sheetData sheetId="8053">
        <row r="9">
          <cell r="A9" t="str">
            <v>A</v>
          </cell>
        </row>
      </sheetData>
      <sheetData sheetId="8054" refreshError="1"/>
      <sheetData sheetId="8055" refreshError="1"/>
      <sheetData sheetId="8056" refreshError="1"/>
      <sheetData sheetId="8057"/>
      <sheetData sheetId="8058"/>
      <sheetData sheetId="8059" refreshError="1"/>
      <sheetData sheetId="8060" refreshError="1"/>
      <sheetData sheetId="8061">
        <row r="9">
          <cell r="A9" t="str">
            <v>A</v>
          </cell>
        </row>
      </sheetData>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sheetData sheetId="8090"/>
      <sheetData sheetId="8091" refreshError="1"/>
      <sheetData sheetId="8092" refreshError="1"/>
      <sheetData sheetId="8093"/>
      <sheetData sheetId="8094" refreshError="1"/>
      <sheetData sheetId="8095"/>
      <sheetData sheetId="8096"/>
      <sheetData sheetId="8097"/>
      <sheetData sheetId="8098"/>
      <sheetData sheetId="8099"/>
      <sheetData sheetId="8100"/>
      <sheetData sheetId="8101" refreshError="1"/>
      <sheetData sheetId="8102" refreshError="1"/>
      <sheetData sheetId="8103"/>
      <sheetData sheetId="8104"/>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ow r="9">
          <cell r="A9" t="str">
            <v>A</v>
          </cell>
        </row>
      </sheetData>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row r="9">
          <cell r="A9" t="str">
            <v>A</v>
          </cell>
        </row>
      </sheetData>
      <sheetData sheetId="8135"/>
      <sheetData sheetId="8136"/>
      <sheetData sheetId="8137">
        <row r="9">
          <cell r="A9" t="str">
            <v>A</v>
          </cell>
        </row>
      </sheetData>
      <sheetData sheetId="8138">
        <row r="9">
          <cell r="A9" t="str">
            <v>A</v>
          </cell>
        </row>
      </sheetData>
      <sheetData sheetId="8139">
        <row r="9">
          <cell r="A9" t="str">
            <v>A</v>
          </cell>
        </row>
      </sheetData>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sheetData sheetId="8178"/>
      <sheetData sheetId="8179"/>
      <sheetData sheetId="8180">
        <row r="9">
          <cell r="A9" t="str">
            <v>A</v>
          </cell>
        </row>
      </sheetData>
      <sheetData sheetId="818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sheetData sheetId="8239">
        <row r="9">
          <cell r="A9" t="str">
            <v>A</v>
          </cell>
        </row>
      </sheetData>
      <sheetData sheetId="8240"/>
      <sheetData sheetId="8241"/>
      <sheetData sheetId="8242"/>
      <sheetData sheetId="8243"/>
      <sheetData sheetId="8244">
        <row r="9">
          <cell r="A9" t="str">
            <v>A</v>
          </cell>
        </row>
      </sheetData>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row r="9">
          <cell r="A9" t="str">
            <v>A</v>
          </cell>
        </row>
      </sheetData>
      <sheetData sheetId="8259">
        <row r="9">
          <cell r="A9" t="str">
            <v>A</v>
          </cell>
        </row>
      </sheetData>
      <sheetData sheetId="8260"/>
      <sheetData sheetId="8261"/>
      <sheetData sheetId="8262">
        <row r="9">
          <cell r="A9" t="str">
            <v>A</v>
          </cell>
        </row>
      </sheetData>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row r="9">
          <cell r="A9" t="str">
            <v>A</v>
          </cell>
        </row>
      </sheetData>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row r="9">
          <cell r="A9" t="str">
            <v>A</v>
          </cell>
        </row>
      </sheetData>
      <sheetData sheetId="8301">
        <row r="9">
          <cell r="A9" t="str">
            <v>A</v>
          </cell>
        </row>
      </sheetData>
      <sheetData sheetId="8302"/>
      <sheetData sheetId="8303"/>
      <sheetData sheetId="8304"/>
      <sheetData sheetId="8305"/>
      <sheetData sheetId="8306"/>
      <sheetData sheetId="8307"/>
      <sheetData sheetId="8308"/>
      <sheetData sheetId="8309"/>
      <sheetData sheetId="8310"/>
      <sheetData sheetId="8311"/>
      <sheetData sheetId="8312">
        <row r="9">
          <cell r="A9" t="str">
            <v>A</v>
          </cell>
        </row>
      </sheetData>
      <sheetData sheetId="8313"/>
      <sheetData sheetId="8314"/>
      <sheetData sheetId="8315"/>
      <sheetData sheetId="8316"/>
      <sheetData sheetId="8317"/>
      <sheetData sheetId="8318"/>
      <sheetData sheetId="8319"/>
      <sheetData sheetId="8320"/>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sheetData sheetId="8328"/>
      <sheetData sheetId="8329"/>
      <sheetData sheetId="8330">
        <row r="9">
          <cell r="A9" t="str">
            <v>A</v>
          </cell>
        </row>
      </sheetData>
      <sheetData sheetId="8331">
        <row r="9">
          <cell r="A9" t="str">
            <v>A</v>
          </cell>
        </row>
      </sheetData>
      <sheetData sheetId="8332">
        <row r="9">
          <cell r="A9" t="str">
            <v>A</v>
          </cell>
        </row>
      </sheetData>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row r="9">
          <cell r="A9" t="str">
            <v>A</v>
          </cell>
        </row>
      </sheetData>
      <sheetData sheetId="8347">
        <row r="9">
          <cell r="A9" t="str">
            <v>A</v>
          </cell>
        </row>
      </sheetData>
      <sheetData sheetId="8348"/>
      <sheetData sheetId="8349"/>
      <sheetData sheetId="8350"/>
      <sheetData sheetId="8351"/>
      <sheetData sheetId="8352">
        <row r="9">
          <cell r="A9" t="str">
            <v>A</v>
          </cell>
        </row>
      </sheetData>
      <sheetData sheetId="8353">
        <row r="9">
          <cell r="A9" t="str">
            <v>A</v>
          </cell>
        </row>
      </sheetData>
      <sheetData sheetId="8354">
        <row r="9">
          <cell r="A9" t="str">
            <v>A</v>
          </cell>
        </row>
      </sheetData>
      <sheetData sheetId="8355"/>
      <sheetData sheetId="8356">
        <row r="9">
          <cell r="A9" t="str">
            <v>A</v>
          </cell>
        </row>
      </sheetData>
      <sheetData sheetId="8357">
        <row r="9">
          <cell r="A9" t="str">
            <v>A</v>
          </cell>
        </row>
      </sheetData>
      <sheetData sheetId="8358"/>
      <sheetData sheetId="8359"/>
      <sheetData sheetId="8360"/>
      <sheetData sheetId="8361"/>
      <sheetData sheetId="8362">
        <row r="9">
          <cell r="A9" t="str">
            <v>A</v>
          </cell>
        </row>
      </sheetData>
      <sheetData sheetId="8363">
        <row r="9">
          <cell r="A9" t="str">
            <v>A</v>
          </cell>
        </row>
      </sheetData>
      <sheetData sheetId="8364">
        <row r="9">
          <cell r="A9" t="str">
            <v>A</v>
          </cell>
        </row>
      </sheetData>
      <sheetData sheetId="8365"/>
      <sheetData sheetId="8366"/>
      <sheetData sheetId="8367"/>
      <sheetData sheetId="8368"/>
      <sheetData sheetId="8369"/>
      <sheetData sheetId="8370"/>
      <sheetData sheetId="8371"/>
      <sheetData sheetId="8372"/>
      <sheetData sheetId="8373"/>
      <sheetData sheetId="8374"/>
      <sheetData sheetId="8375"/>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sheetData sheetId="8382"/>
      <sheetData sheetId="8383"/>
      <sheetData sheetId="8384"/>
      <sheetData sheetId="8385"/>
      <sheetData sheetId="8386">
        <row r="9">
          <cell r="A9" t="str">
            <v>A</v>
          </cell>
        </row>
      </sheetData>
      <sheetData sheetId="8387"/>
      <sheetData sheetId="8388"/>
      <sheetData sheetId="8389"/>
      <sheetData sheetId="8390"/>
      <sheetData sheetId="8391"/>
      <sheetData sheetId="8392">
        <row r="9">
          <cell r="A9" t="str">
            <v>A</v>
          </cell>
        </row>
      </sheetData>
      <sheetData sheetId="8393">
        <row r="9">
          <cell r="A9" t="str">
            <v>A</v>
          </cell>
        </row>
      </sheetData>
      <sheetData sheetId="8394">
        <row r="9">
          <cell r="A9" t="str">
            <v>A</v>
          </cell>
        </row>
      </sheetData>
      <sheetData sheetId="8395"/>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sheetData sheetId="8412">
        <row r="9">
          <cell r="A9" t="str">
            <v>A</v>
          </cell>
        </row>
      </sheetData>
      <sheetData sheetId="8413">
        <row r="9">
          <cell r="A9" t="str">
            <v>A</v>
          </cell>
        </row>
      </sheetData>
      <sheetData sheetId="8414">
        <row r="9">
          <cell r="A9" t="str">
            <v>A</v>
          </cell>
        </row>
      </sheetData>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refreshError="1"/>
      <sheetData sheetId="8428">
        <row r="9">
          <cell r="A9" t="str">
            <v>A</v>
          </cell>
        </row>
      </sheetData>
      <sheetData sheetId="8429">
        <row r="9">
          <cell r="A9" t="str">
            <v>A</v>
          </cell>
        </row>
      </sheetData>
      <sheetData sheetId="8430"/>
      <sheetData sheetId="8431"/>
      <sheetData sheetId="8432"/>
      <sheetData sheetId="8433"/>
      <sheetData sheetId="8434"/>
      <sheetData sheetId="8435">
        <row r="9">
          <cell r="A9" t="str">
            <v>A</v>
          </cell>
        </row>
      </sheetData>
      <sheetData sheetId="8436"/>
      <sheetData sheetId="8437"/>
      <sheetData sheetId="8438">
        <row r="9">
          <cell r="A9" t="str">
            <v>A</v>
          </cell>
        </row>
      </sheetData>
      <sheetData sheetId="8439">
        <row r="9">
          <cell r="A9" t="str">
            <v>A</v>
          </cell>
        </row>
      </sheetData>
      <sheetData sheetId="8440"/>
      <sheetData sheetId="8441"/>
      <sheetData sheetId="8442">
        <row r="9">
          <cell r="A9" t="str">
            <v>A</v>
          </cell>
        </row>
      </sheetData>
      <sheetData sheetId="8443"/>
      <sheetData sheetId="8444"/>
      <sheetData sheetId="8445"/>
      <sheetData sheetId="8446"/>
      <sheetData sheetId="8447"/>
      <sheetData sheetId="8448"/>
      <sheetData sheetId="8449">
        <row r="9">
          <cell r="A9" t="str">
            <v>A</v>
          </cell>
        </row>
      </sheetData>
      <sheetData sheetId="8450">
        <row r="9">
          <cell r="A9" t="str">
            <v>A</v>
          </cell>
        </row>
      </sheetData>
      <sheetData sheetId="8451"/>
      <sheetData sheetId="8452" refreshError="1"/>
      <sheetData sheetId="8453"/>
      <sheetData sheetId="8454"/>
      <sheetData sheetId="8455">
        <row r="9">
          <cell r="A9" t="str">
            <v>A</v>
          </cell>
        </row>
      </sheetData>
      <sheetData sheetId="8456"/>
      <sheetData sheetId="8457"/>
      <sheetData sheetId="8458"/>
      <sheetData sheetId="8459"/>
      <sheetData sheetId="8460"/>
      <sheetData sheetId="8461"/>
      <sheetData sheetId="8462"/>
      <sheetData sheetId="8463">
        <row r="9">
          <cell r="A9" t="str">
            <v>A</v>
          </cell>
        </row>
      </sheetData>
      <sheetData sheetId="8464">
        <row r="9">
          <cell r="A9" t="str">
            <v>A</v>
          </cell>
        </row>
      </sheetData>
      <sheetData sheetId="8465" refreshError="1"/>
      <sheetData sheetId="8466"/>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sheetData sheetId="8479"/>
      <sheetData sheetId="8480">
        <row r="9">
          <cell r="A9" t="str">
            <v>A</v>
          </cell>
        </row>
      </sheetData>
      <sheetData sheetId="8481">
        <row r="9">
          <cell r="A9" t="str">
            <v>A</v>
          </cell>
        </row>
      </sheetData>
      <sheetData sheetId="8482">
        <row r="9">
          <cell r="A9" t="str">
            <v>A</v>
          </cell>
        </row>
      </sheetData>
      <sheetData sheetId="8483" refreshError="1"/>
      <sheetData sheetId="8484">
        <row r="9">
          <cell r="A9" t="str">
            <v>A</v>
          </cell>
        </row>
      </sheetData>
      <sheetData sheetId="8485"/>
      <sheetData sheetId="8486">
        <row r="9">
          <cell r="A9" t="str">
            <v>A</v>
          </cell>
        </row>
      </sheetData>
      <sheetData sheetId="8487"/>
      <sheetData sheetId="8488"/>
      <sheetData sheetId="8489">
        <row r="9">
          <cell r="A9" t="str">
            <v>A</v>
          </cell>
        </row>
      </sheetData>
      <sheetData sheetId="8490">
        <row r="9">
          <cell r="A9" t="str">
            <v>A</v>
          </cell>
        </row>
      </sheetData>
      <sheetData sheetId="8491"/>
      <sheetData sheetId="8492">
        <row r="9">
          <cell r="A9" t="str">
            <v>A</v>
          </cell>
        </row>
      </sheetData>
      <sheetData sheetId="8493"/>
      <sheetData sheetId="8494"/>
      <sheetData sheetId="8495">
        <row r="9">
          <cell r="A9" t="str">
            <v>A</v>
          </cell>
        </row>
      </sheetData>
      <sheetData sheetId="8496">
        <row r="9">
          <cell r="A9" t="str">
            <v>A</v>
          </cell>
        </row>
      </sheetData>
      <sheetData sheetId="8497"/>
      <sheetData sheetId="8498">
        <row r="9">
          <cell r="A9" t="str">
            <v>A</v>
          </cell>
        </row>
      </sheetData>
      <sheetData sheetId="8499"/>
      <sheetData sheetId="8500">
        <row r="9">
          <cell r="A9" t="str">
            <v>A</v>
          </cell>
        </row>
      </sheetData>
      <sheetData sheetId="8501"/>
      <sheetData sheetId="8502">
        <row r="9">
          <cell r="A9" t="str">
            <v>A</v>
          </cell>
        </row>
      </sheetData>
      <sheetData sheetId="8503">
        <row r="9">
          <cell r="A9" t="str">
            <v>A</v>
          </cell>
        </row>
      </sheetData>
      <sheetData sheetId="8504"/>
      <sheetData sheetId="8505">
        <row r="9">
          <cell r="A9" t="str">
            <v>A</v>
          </cell>
        </row>
      </sheetData>
      <sheetData sheetId="8506"/>
      <sheetData sheetId="8507"/>
      <sheetData sheetId="8508">
        <row r="9">
          <cell r="A9" t="str">
            <v>A</v>
          </cell>
        </row>
      </sheetData>
      <sheetData sheetId="8509"/>
      <sheetData sheetId="8510">
        <row r="9">
          <cell r="A9" t="str">
            <v>A</v>
          </cell>
        </row>
      </sheetData>
      <sheetData sheetId="8511"/>
      <sheetData sheetId="8512"/>
      <sheetData sheetId="8513">
        <row r="9">
          <cell r="A9" t="str">
            <v>A</v>
          </cell>
        </row>
      </sheetData>
      <sheetData sheetId="8514">
        <row r="9">
          <cell r="A9" t="str">
            <v>A</v>
          </cell>
        </row>
      </sheetData>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row r="9">
          <cell r="A9" t="str">
            <v>A</v>
          </cell>
        </row>
      </sheetData>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sheetData sheetId="8562"/>
      <sheetData sheetId="8563"/>
      <sheetData sheetId="8564"/>
      <sheetData sheetId="8565"/>
      <sheetData sheetId="8566"/>
      <sheetData sheetId="8567"/>
      <sheetData sheetId="8568"/>
      <sheetData sheetId="8569" refreshError="1"/>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refreshError="1"/>
      <sheetData sheetId="8604" refreshError="1"/>
      <sheetData sheetId="8605"/>
      <sheetData sheetId="8606"/>
      <sheetData sheetId="8607" refreshError="1"/>
      <sheetData sheetId="8608" refreshError="1"/>
      <sheetData sheetId="8609" refreshError="1"/>
      <sheetData sheetId="8610"/>
      <sheetData sheetId="8611"/>
      <sheetData sheetId="8612"/>
      <sheetData sheetId="8613"/>
      <sheetData sheetId="8614" refreshError="1"/>
      <sheetData sheetId="8615" refreshError="1"/>
      <sheetData sheetId="8616" refreshError="1"/>
      <sheetData sheetId="8617" refreshError="1"/>
      <sheetData sheetId="8618"/>
      <sheetData sheetId="8619"/>
      <sheetData sheetId="8620"/>
      <sheetData sheetId="8621"/>
      <sheetData sheetId="8622"/>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sheetData sheetId="8628"/>
      <sheetData sheetId="8629"/>
      <sheetData sheetId="8630"/>
      <sheetData sheetId="8631"/>
      <sheetData sheetId="8632">
        <row r="9">
          <cell r="A9" t="str">
            <v>A</v>
          </cell>
        </row>
      </sheetData>
      <sheetData sheetId="8633"/>
      <sheetData sheetId="8634"/>
      <sheetData sheetId="8635"/>
      <sheetData sheetId="8636"/>
      <sheetData sheetId="8637"/>
      <sheetData sheetId="8638">
        <row r="9">
          <cell r="A9" t="str">
            <v>A</v>
          </cell>
        </row>
      </sheetData>
      <sheetData sheetId="8639">
        <row r="9">
          <cell r="A9" t="str">
            <v>A</v>
          </cell>
        </row>
      </sheetData>
      <sheetData sheetId="8640">
        <row r="9">
          <cell r="A9" t="str">
            <v>A</v>
          </cell>
        </row>
      </sheetData>
      <sheetData sheetId="8641"/>
      <sheetData sheetId="8642">
        <row r="9">
          <cell r="A9" t="str">
            <v>A</v>
          </cell>
        </row>
      </sheetData>
      <sheetData sheetId="8643"/>
      <sheetData sheetId="8644">
        <row r="9">
          <cell r="A9" t="str">
            <v>A</v>
          </cell>
        </row>
      </sheetData>
      <sheetData sheetId="8645">
        <row r="9">
          <cell r="A9" t="str">
            <v>A</v>
          </cell>
        </row>
      </sheetData>
      <sheetData sheetId="8646"/>
      <sheetData sheetId="8647"/>
      <sheetData sheetId="8648"/>
      <sheetData sheetId="8649"/>
      <sheetData sheetId="8650">
        <row r="9">
          <cell r="A9" t="str">
            <v>A</v>
          </cell>
        </row>
      </sheetData>
      <sheetData sheetId="8651">
        <row r="9">
          <cell r="A9" t="str">
            <v>A</v>
          </cell>
        </row>
      </sheetData>
      <sheetData sheetId="8652">
        <row r="9">
          <cell r="A9" t="str">
            <v>A</v>
          </cell>
        </row>
      </sheetData>
      <sheetData sheetId="8653"/>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sheetData sheetId="8661"/>
      <sheetData sheetId="8662"/>
      <sheetData sheetId="8663" refreshError="1"/>
      <sheetData sheetId="8664"/>
      <sheetData sheetId="8665"/>
      <sheetData sheetId="8666"/>
      <sheetData sheetId="8667">
        <row r="9">
          <cell r="A9" t="str">
            <v>A</v>
          </cell>
        </row>
      </sheetData>
      <sheetData sheetId="8668"/>
      <sheetData sheetId="8669"/>
      <sheetData sheetId="8670"/>
      <sheetData sheetId="8671">
        <row r="9">
          <cell r="A9" t="str">
            <v>A</v>
          </cell>
        </row>
      </sheetData>
      <sheetData sheetId="8672"/>
      <sheetData sheetId="8673"/>
      <sheetData sheetId="8674"/>
      <sheetData sheetId="8675"/>
      <sheetData sheetId="8676"/>
      <sheetData sheetId="8677"/>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sheetData sheetId="8686"/>
      <sheetData sheetId="8687">
        <row r="9">
          <cell r="A9" t="str">
            <v>A</v>
          </cell>
        </row>
      </sheetData>
      <sheetData sheetId="8688">
        <row r="9">
          <cell r="A9" t="str">
            <v>A</v>
          </cell>
        </row>
      </sheetData>
      <sheetData sheetId="8689"/>
      <sheetData sheetId="8690"/>
      <sheetData sheetId="8691">
        <row r="9">
          <cell r="A9" t="str">
            <v>A</v>
          </cell>
        </row>
      </sheetData>
      <sheetData sheetId="8692"/>
      <sheetData sheetId="8693"/>
      <sheetData sheetId="8694"/>
      <sheetData sheetId="8695"/>
      <sheetData sheetId="8696"/>
      <sheetData sheetId="8697"/>
      <sheetData sheetId="8698">
        <row r="9">
          <cell r="A9" t="str">
            <v>A</v>
          </cell>
        </row>
      </sheetData>
      <sheetData sheetId="8699">
        <row r="9">
          <cell r="A9" t="str">
            <v>A</v>
          </cell>
        </row>
      </sheetData>
      <sheetData sheetId="8700"/>
      <sheetData sheetId="8701"/>
      <sheetData sheetId="8702">
        <row r="9">
          <cell r="A9" t="str">
            <v>A</v>
          </cell>
        </row>
      </sheetData>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refreshError="1"/>
      <sheetData sheetId="8722" refreshError="1"/>
      <sheetData sheetId="8723">
        <row r="9">
          <cell r="A9" t="str">
            <v>A</v>
          </cell>
        </row>
      </sheetData>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refreshError="1"/>
      <sheetData sheetId="8745" refreshError="1"/>
      <sheetData sheetId="8746" refreshError="1"/>
      <sheetData sheetId="8747"/>
      <sheetData sheetId="8748"/>
      <sheetData sheetId="8749"/>
      <sheetData sheetId="8750"/>
      <sheetData sheetId="8751"/>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sheetData sheetId="8812"/>
      <sheetData sheetId="8813"/>
      <sheetData sheetId="8814"/>
      <sheetData sheetId="8815"/>
      <sheetData sheetId="8816">
        <row r="9">
          <cell r="A9" t="str">
            <v>A</v>
          </cell>
        </row>
      </sheetData>
      <sheetData sheetId="8817"/>
      <sheetData sheetId="8818"/>
      <sheetData sheetId="8819">
        <row r="9">
          <cell r="A9" t="str">
            <v>A</v>
          </cell>
        </row>
      </sheetData>
      <sheetData sheetId="8820">
        <row r="9">
          <cell r="A9" t="str">
            <v>A</v>
          </cell>
        </row>
      </sheetData>
      <sheetData sheetId="8821"/>
      <sheetData sheetId="8822"/>
      <sheetData sheetId="8823">
        <row r="9">
          <cell r="A9" t="str">
            <v>A</v>
          </cell>
        </row>
      </sheetData>
      <sheetData sheetId="8824"/>
      <sheetData sheetId="8825">
        <row r="9">
          <cell r="A9" t="str">
            <v>A</v>
          </cell>
        </row>
      </sheetData>
      <sheetData sheetId="8826">
        <row r="9">
          <cell r="A9" t="str">
            <v>A</v>
          </cell>
        </row>
      </sheetData>
      <sheetData sheetId="8827">
        <row r="9">
          <cell r="A9" t="str">
            <v>A</v>
          </cell>
        </row>
      </sheetData>
      <sheetData sheetId="8828"/>
      <sheetData sheetId="8829"/>
      <sheetData sheetId="8830"/>
      <sheetData sheetId="8831"/>
      <sheetData sheetId="8832"/>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sheetData sheetId="8839"/>
      <sheetData sheetId="8840"/>
      <sheetData sheetId="8841">
        <row r="9">
          <cell r="A9" t="str">
            <v>A</v>
          </cell>
        </row>
      </sheetData>
      <sheetData sheetId="8842"/>
      <sheetData sheetId="8843"/>
      <sheetData sheetId="8844">
        <row r="9">
          <cell r="A9" t="str">
            <v>A</v>
          </cell>
        </row>
      </sheetData>
      <sheetData sheetId="8845">
        <row r="9">
          <cell r="A9" t="str">
            <v>A</v>
          </cell>
        </row>
      </sheetData>
      <sheetData sheetId="8846">
        <row r="9">
          <cell r="A9" t="str">
            <v>A</v>
          </cell>
        </row>
      </sheetData>
      <sheetData sheetId="8847"/>
      <sheetData sheetId="8848"/>
      <sheetData sheetId="8849"/>
      <sheetData sheetId="8850"/>
      <sheetData sheetId="8851"/>
      <sheetData sheetId="8852"/>
      <sheetData sheetId="8853"/>
      <sheetData sheetId="8854"/>
      <sheetData sheetId="8855"/>
      <sheetData sheetId="8856"/>
      <sheetData sheetId="8857">
        <row r="9">
          <cell r="A9" t="str">
            <v>A</v>
          </cell>
        </row>
      </sheetData>
      <sheetData sheetId="8858">
        <row r="9">
          <cell r="A9" t="str">
            <v>A</v>
          </cell>
        </row>
      </sheetData>
      <sheetData sheetId="8859">
        <row r="9">
          <cell r="A9" t="str">
            <v>A</v>
          </cell>
        </row>
      </sheetData>
      <sheetData sheetId="8860">
        <row r="9">
          <cell r="A9" t="str">
            <v>A</v>
          </cell>
        </row>
      </sheetData>
      <sheetData sheetId="8861">
        <row r="9">
          <cell r="A9" t="str">
            <v>A</v>
          </cell>
        </row>
      </sheetData>
      <sheetData sheetId="8862">
        <row r="9">
          <cell r="A9" t="str">
            <v>A</v>
          </cell>
        </row>
      </sheetData>
      <sheetData sheetId="8863">
        <row r="9">
          <cell r="A9" t="str">
            <v>A</v>
          </cell>
        </row>
      </sheetData>
      <sheetData sheetId="8864">
        <row r="9">
          <cell r="A9" t="str">
            <v>A</v>
          </cell>
        </row>
      </sheetData>
      <sheetData sheetId="8865">
        <row r="9">
          <cell r="A9" t="str">
            <v>A</v>
          </cell>
        </row>
      </sheetData>
      <sheetData sheetId="8866">
        <row r="9">
          <cell r="A9" t="str">
            <v>A</v>
          </cell>
        </row>
      </sheetData>
      <sheetData sheetId="8867"/>
      <sheetData sheetId="8868"/>
      <sheetData sheetId="8869"/>
      <sheetData sheetId="8870"/>
      <sheetData sheetId="8871"/>
      <sheetData sheetId="8872"/>
      <sheetData sheetId="8873"/>
      <sheetData sheetId="8874"/>
      <sheetData sheetId="8875"/>
      <sheetData sheetId="8876" refreshError="1"/>
      <sheetData sheetId="8877" refreshError="1"/>
      <sheetData sheetId="8878"/>
      <sheetData sheetId="8879"/>
      <sheetData sheetId="8880"/>
      <sheetData sheetId="8881"/>
      <sheetData sheetId="8882"/>
      <sheetData sheetId="8883"/>
      <sheetData sheetId="8884"/>
      <sheetData sheetId="8885"/>
      <sheetData sheetId="8886"/>
      <sheetData sheetId="8887"/>
      <sheetData sheetId="8888"/>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sheetData sheetId="8922"/>
      <sheetData sheetId="8923"/>
      <sheetData sheetId="8924"/>
      <sheetData sheetId="8925"/>
      <sheetData sheetId="8926"/>
      <sheetData sheetId="8927"/>
      <sheetData sheetId="8928"/>
      <sheetData sheetId="8929"/>
      <sheetData sheetId="8930"/>
      <sheetData sheetId="8931" refreshError="1"/>
      <sheetData sheetId="8932" refreshError="1"/>
      <sheetData sheetId="8933" refreshError="1"/>
      <sheetData sheetId="8934"/>
      <sheetData sheetId="8935"/>
      <sheetData sheetId="8936"/>
      <sheetData sheetId="8937"/>
      <sheetData sheetId="8938"/>
      <sheetData sheetId="8939"/>
      <sheetData sheetId="8940"/>
      <sheetData sheetId="8941">
        <row r="9">
          <cell r="A9" t="str">
            <v>A</v>
          </cell>
        </row>
      </sheetData>
      <sheetData sheetId="8942">
        <row r="9">
          <cell r="A9" t="str">
            <v>A</v>
          </cell>
        </row>
      </sheetData>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refreshError="1"/>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row r="9">
          <cell r="A9" t="str">
            <v>A</v>
          </cell>
        </row>
      </sheetData>
      <sheetData sheetId="8993"/>
      <sheetData sheetId="8994"/>
      <sheetData sheetId="8995"/>
      <sheetData sheetId="8996"/>
      <sheetData sheetId="8997"/>
      <sheetData sheetId="8998"/>
      <sheetData sheetId="8999"/>
      <sheetData sheetId="9000"/>
      <sheetData sheetId="900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ow r="9">
          <cell r="A9" t="str">
            <v>A</v>
          </cell>
        </row>
      </sheetData>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row r="9">
          <cell r="A9" t="str">
            <v>A</v>
          </cell>
        </row>
      </sheetData>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row r="9">
          <cell r="A9" t="str">
            <v>A</v>
          </cell>
        </row>
      </sheetData>
      <sheetData sheetId="9068"/>
      <sheetData sheetId="9069"/>
      <sheetData sheetId="9070"/>
      <sheetData sheetId="9071"/>
      <sheetData sheetId="9072"/>
      <sheetData sheetId="9073">
        <row r="9">
          <cell r="A9" t="str">
            <v>A</v>
          </cell>
        </row>
      </sheetData>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row r="9">
          <cell r="A9" t="str">
            <v>A</v>
          </cell>
        </row>
      </sheetData>
      <sheetData sheetId="9113">
        <row r="9">
          <cell r="A9" t="str">
            <v>A</v>
          </cell>
        </row>
      </sheetData>
      <sheetData sheetId="9114"/>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sheetData sheetId="9137"/>
      <sheetData sheetId="9138">
        <row r="9">
          <cell r="A9" t="str">
            <v>A</v>
          </cell>
        </row>
      </sheetData>
      <sheetData sheetId="9139"/>
      <sheetData sheetId="9140">
        <row r="9">
          <cell r="A9" t="str">
            <v>A</v>
          </cell>
        </row>
      </sheetData>
      <sheetData sheetId="9141">
        <row r="9">
          <cell r="A9" t="str">
            <v>A</v>
          </cell>
        </row>
      </sheetData>
      <sheetData sheetId="9142"/>
      <sheetData sheetId="9143">
        <row r="9">
          <cell r="A9" t="str">
            <v>A</v>
          </cell>
        </row>
      </sheetData>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sheetData sheetId="9169"/>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sheetData sheetId="9175">
        <row r="9">
          <cell r="A9" t="str">
            <v>A</v>
          </cell>
        </row>
      </sheetData>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sheetData sheetId="9217"/>
      <sheetData sheetId="9218"/>
      <sheetData sheetId="9219"/>
      <sheetData sheetId="9220"/>
      <sheetData sheetId="9221"/>
      <sheetData sheetId="9222"/>
      <sheetData sheetId="9223"/>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sheetData sheetId="9229"/>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efreshError="1"/>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sheetData sheetId="9249"/>
      <sheetData sheetId="9250"/>
      <sheetData sheetId="9251"/>
      <sheetData sheetId="9252"/>
      <sheetData sheetId="9253"/>
      <sheetData sheetId="9254"/>
      <sheetData sheetId="9255"/>
      <sheetData sheetId="9256"/>
      <sheetData sheetId="9257"/>
      <sheetData sheetId="9258"/>
      <sheetData sheetId="9259">
        <row r="9">
          <cell r="A9" t="str">
            <v>A</v>
          </cell>
        </row>
      </sheetData>
      <sheetData sheetId="9260" refreshError="1"/>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sheetData sheetId="9266">
        <row r="9">
          <cell r="A9" t="str">
            <v>A</v>
          </cell>
        </row>
      </sheetData>
      <sheetData sheetId="9267"/>
      <sheetData sheetId="9268">
        <row r="9">
          <cell r="A9" t="str">
            <v>A</v>
          </cell>
        </row>
      </sheetData>
      <sheetData sheetId="9269">
        <row r="9">
          <cell r="A9" t="str">
            <v>A</v>
          </cell>
        </row>
      </sheetData>
      <sheetData sheetId="9270">
        <row r="9">
          <cell r="A9" t="str">
            <v>A</v>
          </cell>
        </row>
      </sheetData>
      <sheetData sheetId="9271"/>
      <sheetData sheetId="9272"/>
      <sheetData sheetId="9273">
        <row r="9">
          <cell r="A9" t="str">
            <v>A</v>
          </cell>
        </row>
      </sheetData>
      <sheetData sheetId="9274">
        <row r="9">
          <cell r="A9" t="str">
            <v>A</v>
          </cell>
        </row>
      </sheetData>
      <sheetData sheetId="9275"/>
      <sheetData sheetId="9276"/>
      <sheetData sheetId="9277">
        <row r="9">
          <cell r="A9" t="str">
            <v>A</v>
          </cell>
        </row>
      </sheetData>
      <sheetData sheetId="9278"/>
      <sheetData sheetId="9279">
        <row r="9">
          <cell r="A9" t="str">
            <v>A</v>
          </cell>
        </row>
      </sheetData>
      <sheetData sheetId="9280"/>
      <sheetData sheetId="9281"/>
      <sheetData sheetId="9282"/>
      <sheetData sheetId="9283"/>
      <sheetData sheetId="9284"/>
      <sheetData sheetId="9285"/>
      <sheetData sheetId="9286">
        <row r="9">
          <cell r="A9" t="str">
            <v>A</v>
          </cell>
        </row>
      </sheetData>
      <sheetData sheetId="9287"/>
      <sheetData sheetId="9288">
        <row r="9">
          <cell r="A9" t="str">
            <v>A</v>
          </cell>
        </row>
      </sheetData>
      <sheetData sheetId="9289">
        <row r="9">
          <cell r="A9" t="str">
            <v>A</v>
          </cell>
        </row>
      </sheetData>
      <sheetData sheetId="9290"/>
      <sheetData sheetId="9291"/>
      <sheetData sheetId="9292"/>
      <sheetData sheetId="9293"/>
      <sheetData sheetId="9294">
        <row r="9">
          <cell r="A9" t="str">
            <v>A</v>
          </cell>
        </row>
      </sheetData>
      <sheetData sheetId="9295">
        <row r="9">
          <cell r="A9" t="str">
            <v>A</v>
          </cell>
        </row>
      </sheetData>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row r="9">
          <cell r="A9" t="str">
            <v>A</v>
          </cell>
        </row>
      </sheetData>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row r="9">
          <cell r="A9" t="str">
            <v>A</v>
          </cell>
        </row>
      </sheetData>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row r="9">
          <cell r="A9" t="str">
            <v>A</v>
          </cell>
        </row>
      </sheetData>
      <sheetData sheetId="9390"/>
      <sheetData sheetId="9391"/>
      <sheetData sheetId="9392"/>
      <sheetData sheetId="9393"/>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ow r="9">
          <cell r="A9" t="str">
            <v>A</v>
          </cell>
        </row>
      </sheetData>
      <sheetData sheetId="9399">
        <row r="9">
          <cell r="A9" t="str">
            <v>A</v>
          </cell>
        </row>
      </sheetData>
      <sheetData sheetId="9400">
        <row r="9">
          <cell r="A9" t="str">
            <v>A</v>
          </cell>
        </row>
      </sheetData>
      <sheetData sheetId="9401">
        <row r="9">
          <cell r="A9" t="str">
            <v>A</v>
          </cell>
        </row>
      </sheetData>
      <sheetData sheetId="9402"/>
      <sheetData sheetId="9403"/>
      <sheetData sheetId="9404"/>
      <sheetData sheetId="9405">
        <row r="9">
          <cell r="A9" t="str">
            <v>A</v>
          </cell>
        </row>
      </sheetData>
      <sheetData sheetId="9406"/>
      <sheetData sheetId="9407"/>
      <sheetData sheetId="9408"/>
      <sheetData sheetId="9409"/>
      <sheetData sheetId="9410"/>
      <sheetData sheetId="9411"/>
      <sheetData sheetId="9412"/>
      <sheetData sheetId="9413"/>
      <sheetData sheetId="9414">
        <row r="9">
          <cell r="A9" t="str">
            <v>A</v>
          </cell>
        </row>
      </sheetData>
      <sheetData sheetId="9415">
        <row r="9">
          <cell r="A9" t="str">
            <v>A</v>
          </cell>
        </row>
      </sheetData>
      <sheetData sheetId="9416">
        <row r="9">
          <cell r="A9" t="str">
            <v>A</v>
          </cell>
        </row>
      </sheetData>
      <sheetData sheetId="9417">
        <row r="9">
          <cell r="A9" t="str">
            <v>A</v>
          </cell>
        </row>
      </sheetData>
      <sheetData sheetId="9418">
        <row r="9">
          <cell r="A9" t="str">
            <v>A</v>
          </cell>
        </row>
      </sheetData>
      <sheetData sheetId="9419"/>
      <sheetData sheetId="9420">
        <row r="9">
          <cell r="A9" t="str">
            <v>A</v>
          </cell>
        </row>
      </sheetData>
      <sheetData sheetId="9421">
        <row r="9">
          <cell r="A9" t="str">
            <v>A</v>
          </cell>
        </row>
      </sheetData>
      <sheetData sheetId="9422"/>
      <sheetData sheetId="9423"/>
      <sheetData sheetId="9424">
        <row r="9">
          <cell r="A9" t="str">
            <v>A</v>
          </cell>
        </row>
      </sheetData>
      <sheetData sheetId="9425">
        <row r="9">
          <cell r="A9" t="str">
            <v>A</v>
          </cell>
        </row>
      </sheetData>
      <sheetData sheetId="9426"/>
      <sheetData sheetId="9427"/>
      <sheetData sheetId="9428"/>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sheetData sheetId="9590"/>
      <sheetData sheetId="9591"/>
      <sheetData sheetId="9592"/>
      <sheetData sheetId="9593"/>
      <sheetData sheetId="9594"/>
      <sheetData sheetId="9595">
        <row r="9">
          <cell r="A9" t="str">
            <v>A</v>
          </cell>
        </row>
      </sheetData>
      <sheetData sheetId="9596"/>
      <sheetData sheetId="9597">
        <row r="9">
          <cell r="A9" t="str">
            <v>A</v>
          </cell>
        </row>
      </sheetData>
      <sheetData sheetId="9598">
        <row r="9">
          <cell r="A9" t="str">
            <v>A</v>
          </cell>
        </row>
      </sheetData>
      <sheetData sheetId="9599">
        <row r="9">
          <cell r="A9" t="str">
            <v>A</v>
          </cell>
        </row>
      </sheetData>
      <sheetData sheetId="9600">
        <row r="9">
          <cell r="A9" t="str">
            <v>A</v>
          </cell>
        </row>
      </sheetData>
      <sheetData sheetId="9601"/>
      <sheetData sheetId="9602"/>
      <sheetData sheetId="9603"/>
      <sheetData sheetId="9604"/>
      <sheetData sheetId="9605"/>
      <sheetData sheetId="9606"/>
      <sheetData sheetId="9607"/>
      <sheetData sheetId="9608"/>
      <sheetData sheetId="9609"/>
      <sheetData sheetId="9610"/>
      <sheetData sheetId="9611"/>
      <sheetData sheetId="9612">
        <row r="9">
          <cell r="A9" t="str">
            <v>A</v>
          </cell>
        </row>
      </sheetData>
      <sheetData sheetId="9613"/>
      <sheetData sheetId="9614"/>
      <sheetData sheetId="9615"/>
      <sheetData sheetId="9616"/>
      <sheetData sheetId="9617"/>
      <sheetData sheetId="9618"/>
      <sheetData sheetId="9619"/>
      <sheetData sheetId="9620"/>
      <sheetData sheetId="9621">
        <row r="9">
          <cell r="A9" t="str">
            <v>A</v>
          </cell>
        </row>
      </sheetData>
      <sheetData sheetId="9622"/>
      <sheetData sheetId="9623"/>
      <sheetData sheetId="9624">
        <row r="9">
          <cell r="A9" t="str">
            <v>A</v>
          </cell>
        </row>
      </sheetData>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sheetData sheetId="9638" refreshError="1"/>
      <sheetData sheetId="9639" refreshError="1"/>
      <sheetData sheetId="9640" refreshError="1"/>
      <sheetData sheetId="9641"/>
      <sheetData sheetId="9642">
        <row r="9">
          <cell r="A9" t="str">
            <v>A</v>
          </cell>
        </row>
      </sheetData>
      <sheetData sheetId="9643">
        <row r="9">
          <cell r="A9" t="str">
            <v>A</v>
          </cell>
        </row>
      </sheetData>
      <sheetData sheetId="9644">
        <row r="9">
          <cell r="A9" t="str">
            <v>A</v>
          </cell>
        </row>
      </sheetData>
      <sheetData sheetId="9645">
        <row r="9">
          <cell r="A9" t="str">
            <v>A</v>
          </cell>
        </row>
      </sheetData>
      <sheetData sheetId="9646">
        <row r="9">
          <cell r="A9" t="str">
            <v>A</v>
          </cell>
        </row>
      </sheetData>
      <sheetData sheetId="9647">
        <row r="9">
          <cell r="A9" t="str">
            <v>A</v>
          </cell>
        </row>
      </sheetData>
      <sheetData sheetId="9648">
        <row r="9">
          <cell r="A9" t="str">
            <v>A</v>
          </cell>
        </row>
      </sheetData>
      <sheetData sheetId="9649">
        <row r="9">
          <cell r="A9" t="str">
            <v>A</v>
          </cell>
        </row>
      </sheetData>
      <sheetData sheetId="9650">
        <row r="9">
          <cell r="A9" t="str">
            <v>A</v>
          </cell>
        </row>
      </sheetData>
      <sheetData sheetId="9651">
        <row r="9">
          <cell r="A9" t="str">
            <v>A</v>
          </cell>
        </row>
      </sheetData>
      <sheetData sheetId="9652">
        <row r="9">
          <cell r="A9" t="str">
            <v>A</v>
          </cell>
        </row>
      </sheetData>
      <sheetData sheetId="9653">
        <row r="9">
          <cell r="A9" t="str">
            <v>A</v>
          </cell>
        </row>
      </sheetData>
      <sheetData sheetId="9654">
        <row r="9">
          <cell r="A9" t="str">
            <v>A</v>
          </cell>
        </row>
      </sheetData>
      <sheetData sheetId="9655">
        <row r="9">
          <cell r="A9" t="str">
            <v>A</v>
          </cell>
        </row>
      </sheetData>
      <sheetData sheetId="9656">
        <row r="9">
          <cell r="A9" t="str">
            <v>A</v>
          </cell>
        </row>
      </sheetData>
      <sheetData sheetId="9657">
        <row r="9">
          <cell r="A9" t="str">
            <v>A</v>
          </cell>
        </row>
      </sheetData>
      <sheetData sheetId="9658">
        <row r="9">
          <cell r="A9" t="str">
            <v>A</v>
          </cell>
        </row>
      </sheetData>
      <sheetData sheetId="9659">
        <row r="9">
          <cell r="A9" t="str">
            <v>A</v>
          </cell>
        </row>
      </sheetData>
      <sheetData sheetId="9660">
        <row r="9">
          <cell r="A9" t="str">
            <v>A</v>
          </cell>
        </row>
      </sheetData>
      <sheetData sheetId="9661"/>
      <sheetData sheetId="9662">
        <row r="9">
          <cell r="A9" t="str">
            <v>A</v>
          </cell>
        </row>
      </sheetData>
      <sheetData sheetId="9663">
        <row r="9">
          <cell r="A9" t="str">
            <v>A</v>
          </cell>
        </row>
      </sheetData>
      <sheetData sheetId="9664"/>
      <sheetData sheetId="9665"/>
      <sheetData sheetId="9666"/>
      <sheetData sheetId="9667"/>
      <sheetData sheetId="9668"/>
      <sheetData sheetId="9669"/>
      <sheetData sheetId="9670"/>
      <sheetData sheetId="9671"/>
      <sheetData sheetId="9672"/>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sheetData sheetId="9719"/>
      <sheetData sheetId="9720"/>
      <sheetData sheetId="9721"/>
      <sheetData sheetId="9722"/>
      <sheetData sheetId="9723"/>
      <sheetData sheetId="9724">
        <row r="9">
          <cell r="A9" t="str">
            <v>A</v>
          </cell>
        </row>
      </sheetData>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row r="9">
          <cell r="A9" t="str">
            <v>A</v>
          </cell>
        </row>
      </sheetData>
      <sheetData sheetId="9740"/>
      <sheetData sheetId="9741"/>
      <sheetData sheetId="9742"/>
      <sheetData sheetId="9743"/>
      <sheetData sheetId="9744"/>
      <sheetData sheetId="9745"/>
      <sheetData sheetId="9746">
        <row r="9">
          <cell r="A9" t="str">
            <v>A</v>
          </cell>
        </row>
      </sheetData>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row r="9">
          <cell r="A9" t="str">
            <v>A</v>
          </cell>
        </row>
      </sheetData>
      <sheetData sheetId="10212">
        <row r="9">
          <cell r="A9" t="str">
            <v>A</v>
          </cell>
        </row>
      </sheetData>
      <sheetData sheetId="10213">
        <row r="9">
          <cell r="A9" t="str">
            <v>A</v>
          </cell>
        </row>
      </sheetData>
      <sheetData sheetId="10214">
        <row r="9">
          <cell r="A9" t="str">
            <v>A</v>
          </cell>
        </row>
      </sheetData>
      <sheetData sheetId="10215">
        <row r="9">
          <cell r="A9" t="str">
            <v>A</v>
          </cell>
        </row>
      </sheetData>
      <sheetData sheetId="10216">
        <row r="9">
          <cell r="A9" t="str">
            <v>A</v>
          </cell>
        </row>
      </sheetData>
      <sheetData sheetId="10217">
        <row r="9">
          <cell r="A9" t="str">
            <v>A</v>
          </cell>
        </row>
      </sheetData>
      <sheetData sheetId="10218">
        <row r="9">
          <cell r="A9" t="str">
            <v>A</v>
          </cell>
        </row>
      </sheetData>
      <sheetData sheetId="10219">
        <row r="9">
          <cell r="A9" t="str">
            <v>A</v>
          </cell>
        </row>
      </sheetData>
      <sheetData sheetId="10220">
        <row r="9">
          <cell r="A9" t="str">
            <v>A</v>
          </cell>
        </row>
      </sheetData>
      <sheetData sheetId="10221">
        <row r="9">
          <cell r="A9" t="str">
            <v>A</v>
          </cell>
        </row>
      </sheetData>
      <sheetData sheetId="10222">
        <row r="9">
          <cell r="A9" t="str">
            <v>A</v>
          </cell>
        </row>
      </sheetData>
      <sheetData sheetId="10223">
        <row r="9">
          <cell r="A9" t="str">
            <v>A</v>
          </cell>
        </row>
      </sheetData>
      <sheetData sheetId="10224">
        <row r="9">
          <cell r="A9" t="str">
            <v>A</v>
          </cell>
        </row>
      </sheetData>
      <sheetData sheetId="10225">
        <row r="9">
          <cell r="A9" t="str">
            <v>A</v>
          </cell>
        </row>
      </sheetData>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sheetData sheetId="10261">
        <row r="9">
          <cell r="A9" t="str">
            <v>A</v>
          </cell>
        </row>
      </sheetData>
      <sheetData sheetId="10262"/>
      <sheetData sheetId="10263"/>
      <sheetData sheetId="10264"/>
      <sheetData sheetId="10265"/>
      <sheetData sheetId="10266">
        <row r="9">
          <cell r="A9" t="str">
            <v>A</v>
          </cell>
        </row>
      </sheetData>
      <sheetData sheetId="10267"/>
      <sheetData sheetId="10268"/>
      <sheetData sheetId="10269"/>
      <sheetData sheetId="10270"/>
      <sheetData sheetId="10271"/>
      <sheetData sheetId="10272"/>
      <sheetData sheetId="10273"/>
      <sheetData sheetId="10274"/>
      <sheetData sheetId="10275">
        <row r="9">
          <cell r="A9" t="str">
            <v>A</v>
          </cell>
        </row>
      </sheetData>
      <sheetData sheetId="10276"/>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row r="9">
          <cell r="A9" t="str">
            <v>A</v>
          </cell>
        </row>
      </sheetData>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refreshError="1"/>
      <sheetData sheetId="10877"/>
      <sheetData sheetId="10878"/>
      <sheetData sheetId="10879"/>
      <sheetData sheetId="10880"/>
      <sheetData sheetId="10881"/>
      <sheetData sheetId="10882"/>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refreshError="1"/>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refreshError="1"/>
      <sheetData sheetId="11060" refreshError="1"/>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refreshError="1"/>
      <sheetData sheetId="11080"/>
      <sheetData sheetId="11081"/>
      <sheetData sheetId="11082" refreshError="1"/>
      <sheetData sheetId="11083"/>
      <sheetData sheetId="11084"/>
      <sheetData sheetId="11085"/>
      <sheetData sheetId="11086"/>
      <sheetData sheetId="11087"/>
      <sheetData sheetId="11088"/>
      <sheetData sheetId="11089"/>
      <sheetData sheetId="11090"/>
      <sheetData sheetId="11091"/>
      <sheetData sheetId="11092"/>
      <sheetData sheetId="11093" refreshError="1"/>
      <sheetData sheetId="11094" refreshError="1"/>
      <sheetData sheetId="11095" refreshError="1"/>
      <sheetData sheetId="11096" refreshError="1"/>
      <sheetData sheetId="11097" refreshError="1"/>
      <sheetData sheetId="11098"/>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sheetData sheetId="11125"/>
      <sheetData sheetId="11126"/>
      <sheetData sheetId="11127"/>
      <sheetData sheetId="11128" refreshError="1"/>
      <sheetData sheetId="11129"/>
      <sheetData sheetId="11130" refreshError="1"/>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row r="9">
          <cell r="A9" t="str">
            <v>A</v>
          </cell>
        </row>
      </sheetData>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refreshError="1"/>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refreshError="1"/>
      <sheetData sheetId="11193"/>
      <sheetData sheetId="11194" refreshError="1"/>
      <sheetData sheetId="11195" refreshError="1"/>
      <sheetData sheetId="11196" refreshError="1"/>
      <sheetData sheetId="11197" refreshError="1"/>
      <sheetData sheetId="11198"/>
      <sheetData sheetId="11199"/>
      <sheetData sheetId="11200"/>
      <sheetData sheetId="11201"/>
      <sheetData sheetId="11202"/>
      <sheetData sheetId="11203"/>
      <sheetData sheetId="11204"/>
      <sheetData sheetId="11205"/>
      <sheetData sheetId="11206" refreshError="1"/>
      <sheetData sheetId="11207"/>
      <sheetData sheetId="11208" refreshError="1"/>
      <sheetData sheetId="11209" refreshError="1"/>
      <sheetData sheetId="11210" refreshError="1"/>
      <sheetData sheetId="11211" refreshError="1"/>
      <sheetData sheetId="11212" refreshError="1"/>
      <sheetData sheetId="11213" refreshError="1"/>
      <sheetData sheetId="11214"/>
      <sheetData sheetId="11215"/>
      <sheetData sheetId="11216" refreshError="1"/>
      <sheetData sheetId="11217" refreshError="1"/>
      <sheetData sheetId="11218"/>
      <sheetData sheetId="11219"/>
      <sheetData sheetId="11220" refreshError="1"/>
      <sheetData sheetId="11221" refreshError="1"/>
      <sheetData sheetId="11222" refreshError="1"/>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refreshError="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refreshError="1"/>
      <sheetData sheetId="11319"/>
      <sheetData sheetId="11320"/>
      <sheetData sheetId="11321" refreshError="1"/>
      <sheetData sheetId="11322" refreshError="1"/>
      <sheetData sheetId="11323" refreshError="1"/>
      <sheetData sheetId="11324"/>
      <sheetData sheetId="11325"/>
      <sheetData sheetId="11326"/>
      <sheetData sheetId="11327"/>
      <sheetData sheetId="11328"/>
      <sheetData sheetId="11329" refreshError="1"/>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refreshError="1"/>
      <sheetData sheetId="11355"/>
      <sheetData sheetId="11356"/>
      <sheetData sheetId="11357" refreshError="1"/>
      <sheetData sheetId="11358"/>
      <sheetData sheetId="11359" refreshError="1"/>
      <sheetData sheetId="11360" refreshError="1"/>
      <sheetData sheetId="11361" refreshError="1"/>
      <sheetData sheetId="11362" refreshError="1"/>
      <sheetData sheetId="11363"/>
      <sheetData sheetId="11364"/>
      <sheetData sheetId="11365"/>
      <sheetData sheetId="11366"/>
      <sheetData sheetId="11367"/>
      <sheetData sheetId="11368"/>
      <sheetData sheetId="11369"/>
      <sheetData sheetId="11370"/>
      <sheetData sheetId="11371" refreshError="1"/>
      <sheetData sheetId="11372" refreshError="1"/>
      <sheetData sheetId="11373" refreshError="1"/>
      <sheetData sheetId="11374" refreshError="1"/>
      <sheetData sheetId="11375" refreshError="1"/>
      <sheetData sheetId="11376"/>
      <sheetData sheetId="11377" refreshError="1"/>
      <sheetData sheetId="11378" refreshError="1"/>
      <sheetData sheetId="11379" refreshError="1"/>
      <sheetData sheetId="11380" refreshError="1"/>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refreshError="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refreshError="1"/>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row r="9">
          <cell r="A9" t="str">
            <v>A</v>
          </cell>
        </row>
      </sheetData>
      <sheetData sheetId="11468">
        <row r="9">
          <cell r="A9" t="str">
            <v>A</v>
          </cell>
        </row>
      </sheetData>
      <sheetData sheetId="11469"/>
      <sheetData sheetId="11470"/>
      <sheetData sheetId="11471"/>
      <sheetData sheetId="11472" refreshError="1"/>
      <sheetData sheetId="11473" refreshError="1"/>
      <sheetData sheetId="11474" refreshError="1"/>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refreshError="1"/>
      <sheetData sheetId="11512"/>
      <sheetData sheetId="11513" refreshError="1"/>
      <sheetData sheetId="11514" refreshError="1"/>
      <sheetData sheetId="11515" refreshError="1"/>
      <sheetData sheetId="11516" refreshError="1"/>
      <sheetData sheetId="11517" refreshError="1"/>
      <sheetData sheetId="11518" refreshError="1"/>
      <sheetData sheetId="11519"/>
      <sheetData sheetId="11520"/>
      <sheetData sheetId="11521"/>
      <sheetData sheetId="11522"/>
      <sheetData sheetId="11523"/>
      <sheetData sheetId="11524"/>
      <sheetData sheetId="11525"/>
      <sheetData sheetId="11526"/>
      <sheetData sheetId="11527"/>
      <sheetData sheetId="11528"/>
      <sheetData sheetId="11529" refreshError="1"/>
      <sheetData sheetId="11530" refreshError="1"/>
      <sheetData sheetId="11531" refreshError="1"/>
      <sheetData sheetId="11532" refreshError="1"/>
      <sheetData sheetId="11533" refreshError="1"/>
      <sheetData sheetId="11534"/>
      <sheetData sheetId="11535"/>
      <sheetData sheetId="11536"/>
      <sheetData sheetId="11537"/>
      <sheetData sheetId="11538"/>
      <sheetData sheetId="11539"/>
      <sheetData sheetId="11540"/>
      <sheetData sheetId="11541"/>
      <sheetData sheetId="11542"/>
      <sheetData sheetId="11543"/>
      <sheetData sheetId="11544" refreshError="1"/>
      <sheetData sheetId="11545" refreshError="1"/>
      <sheetData sheetId="11546" refreshError="1"/>
      <sheetData sheetId="11547" refreshError="1"/>
      <sheetData sheetId="11548" refreshError="1"/>
      <sheetData sheetId="11549" refreshError="1"/>
      <sheetData sheetId="11550"/>
      <sheetData sheetId="11551" refreshError="1"/>
      <sheetData sheetId="11552" refreshError="1"/>
      <sheetData sheetId="11553"/>
      <sheetData sheetId="11554"/>
      <sheetData sheetId="11555"/>
      <sheetData sheetId="11556" refreshError="1"/>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refreshError="1"/>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refreshError="1"/>
      <sheetData sheetId="11677" refreshError="1"/>
      <sheetData sheetId="11678" refreshError="1"/>
      <sheetData sheetId="11679" refreshError="1"/>
      <sheetData sheetId="11680" refreshError="1"/>
      <sheetData sheetId="11681"/>
      <sheetData sheetId="11682"/>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sheetData sheetId="11694"/>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sheetData sheetId="11717"/>
      <sheetData sheetId="11718" refreshError="1"/>
      <sheetData sheetId="11719"/>
      <sheetData sheetId="11720"/>
      <sheetData sheetId="11721"/>
      <sheetData sheetId="11722"/>
      <sheetData sheetId="11723"/>
      <sheetData sheetId="11724" refreshError="1"/>
      <sheetData sheetId="11725" refreshError="1"/>
      <sheetData sheetId="11726" refreshError="1"/>
      <sheetData sheetId="11727" refreshError="1"/>
      <sheetData sheetId="11728" refreshError="1"/>
      <sheetData sheetId="11729" refreshError="1"/>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refreshError="1"/>
      <sheetData sheetId="11747" refreshError="1"/>
      <sheetData sheetId="11748" refreshError="1"/>
      <sheetData sheetId="11749" refreshError="1"/>
      <sheetData sheetId="11750"/>
      <sheetData sheetId="11751"/>
      <sheetData sheetId="11752"/>
      <sheetData sheetId="11753"/>
      <sheetData sheetId="11754"/>
      <sheetData sheetId="11755"/>
      <sheetData sheetId="11756"/>
      <sheetData sheetId="11757"/>
      <sheetData sheetId="11758"/>
      <sheetData sheetId="11759" refreshError="1"/>
      <sheetData sheetId="11760" refreshError="1"/>
      <sheetData sheetId="11761" refreshError="1"/>
      <sheetData sheetId="11762" refreshError="1"/>
      <sheetData sheetId="11763" refreshError="1"/>
      <sheetData sheetId="11764" refreshError="1"/>
      <sheetData sheetId="11765">
        <row r="9">
          <cell r="A9" t="str">
            <v>A</v>
          </cell>
        </row>
      </sheetData>
      <sheetData sheetId="11766">
        <row r="9">
          <cell r="A9" t="str">
            <v>A</v>
          </cell>
        </row>
      </sheetData>
      <sheetData sheetId="11767" refreshError="1"/>
      <sheetData sheetId="11768" refreshError="1"/>
      <sheetData sheetId="11769">
        <row r="9">
          <cell r="A9" t="str">
            <v>A</v>
          </cell>
        </row>
      </sheetData>
      <sheetData sheetId="11770">
        <row r="9">
          <cell r="A9" t="str">
            <v>A</v>
          </cell>
        </row>
      </sheetData>
      <sheetData sheetId="11771">
        <row r="9">
          <cell r="A9" t="str">
            <v>A</v>
          </cell>
        </row>
      </sheetData>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refreshError="1"/>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refreshError="1"/>
      <sheetData sheetId="11877"/>
      <sheetData sheetId="11878"/>
      <sheetData sheetId="11879" refreshError="1"/>
      <sheetData sheetId="11880"/>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sheetData sheetId="11890"/>
      <sheetData sheetId="11891"/>
      <sheetData sheetId="11892"/>
      <sheetData sheetId="11893"/>
      <sheetData sheetId="11894"/>
      <sheetData sheetId="11895">
        <row r="9">
          <cell r="A9" t="str">
            <v>A</v>
          </cell>
        </row>
      </sheetData>
      <sheetData sheetId="11896">
        <row r="9">
          <cell r="A9" t="str">
            <v>A</v>
          </cell>
        </row>
      </sheetData>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sheetData sheetId="11905" refreshError="1"/>
      <sheetData sheetId="11906" refreshError="1"/>
      <sheetData sheetId="11907" refreshError="1"/>
      <sheetData sheetId="11908" refreshError="1"/>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refreshError="1"/>
      <sheetData sheetId="12809" refreshError="1"/>
      <sheetData sheetId="12810"/>
      <sheetData sheetId="1281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refreshError="1"/>
      <sheetData sheetId="12914"/>
      <sheetData sheetId="12915" refreshError="1"/>
      <sheetData sheetId="12916" refreshError="1"/>
      <sheetData sheetId="12917">
        <row r="9">
          <cell r="A9" t="str">
            <v>A</v>
          </cell>
        </row>
      </sheetData>
      <sheetData sheetId="12918">
        <row r="9">
          <cell r="A9" t="str">
            <v>A</v>
          </cell>
        </row>
      </sheetData>
      <sheetData sheetId="12919">
        <row r="9">
          <cell r="A9" t="str">
            <v>A</v>
          </cell>
        </row>
      </sheetData>
      <sheetData sheetId="12920">
        <row r="9">
          <cell r="A9" t="str">
            <v>A</v>
          </cell>
        </row>
      </sheetData>
      <sheetData sheetId="12921">
        <row r="9">
          <cell r="A9" t="str">
            <v>A</v>
          </cell>
        </row>
      </sheetData>
      <sheetData sheetId="12922">
        <row r="9">
          <cell r="A9" t="str">
            <v>A</v>
          </cell>
        </row>
      </sheetData>
      <sheetData sheetId="12923">
        <row r="9">
          <cell r="A9" t="str">
            <v>A</v>
          </cell>
        </row>
      </sheetData>
      <sheetData sheetId="12924">
        <row r="9">
          <cell r="A9" t="str">
            <v>A</v>
          </cell>
        </row>
      </sheetData>
      <sheetData sheetId="12925"/>
      <sheetData sheetId="12926"/>
      <sheetData sheetId="12927" refreshError="1"/>
      <sheetData sheetId="12928"/>
      <sheetData sheetId="12929"/>
      <sheetData sheetId="12930"/>
      <sheetData sheetId="12931" refreshError="1"/>
      <sheetData sheetId="12932"/>
      <sheetData sheetId="12933"/>
      <sheetData sheetId="12934"/>
      <sheetData sheetId="12935"/>
      <sheetData sheetId="12936"/>
      <sheetData sheetId="12937"/>
      <sheetData sheetId="12938"/>
      <sheetData sheetId="12939"/>
      <sheetData sheetId="12940"/>
      <sheetData sheetId="12941"/>
      <sheetData sheetId="12942"/>
      <sheetData sheetId="12943" refreshError="1"/>
      <sheetData sheetId="12944" refreshError="1"/>
      <sheetData sheetId="12945" refreshError="1"/>
      <sheetData sheetId="12946" refreshError="1"/>
      <sheetData sheetId="12947" refreshError="1"/>
      <sheetData sheetId="12948" refreshError="1"/>
      <sheetData sheetId="12949"/>
      <sheetData sheetId="12950"/>
      <sheetData sheetId="12951"/>
      <sheetData sheetId="12952"/>
      <sheetData sheetId="12953" refreshError="1"/>
      <sheetData sheetId="12954" refreshError="1"/>
      <sheetData sheetId="12955"/>
      <sheetData sheetId="12956"/>
      <sheetData sheetId="12957"/>
      <sheetData sheetId="12958" refreshError="1"/>
      <sheetData sheetId="12959" refreshError="1"/>
      <sheetData sheetId="12960" refreshError="1"/>
      <sheetData sheetId="12961" refreshError="1"/>
      <sheetData sheetId="12962"/>
      <sheetData sheetId="12963"/>
      <sheetData sheetId="12964"/>
      <sheetData sheetId="12965"/>
      <sheetData sheetId="12966"/>
      <sheetData sheetId="12967"/>
      <sheetData sheetId="12968"/>
      <sheetData sheetId="12969" refreshError="1"/>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refreshError="1"/>
      <sheetData sheetId="12985" refreshError="1"/>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refreshError="1"/>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refreshError="1"/>
      <sheetData sheetId="13013" refreshError="1"/>
      <sheetData sheetId="13014" refreshError="1"/>
      <sheetData sheetId="13015" refreshError="1"/>
      <sheetData sheetId="13016" refreshError="1"/>
      <sheetData sheetId="13017"/>
      <sheetData sheetId="13018"/>
      <sheetData sheetId="13019"/>
      <sheetData sheetId="13020"/>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refreshError="1"/>
      <sheetData sheetId="13093"/>
      <sheetData sheetId="13094" refreshError="1"/>
      <sheetData sheetId="13095" refreshError="1"/>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sheetData sheetId="13113"/>
      <sheetData sheetId="13114"/>
      <sheetData sheetId="13115"/>
      <sheetData sheetId="13116"/>
      <sheetData sheetId="13117"/>
      <sheetData sheetId="13118"/>
      <sheetData sheetId="13119"/>
      <sheetData sheetId="13120"/>
      <sheetData sheetId="13121"/>
      <sheetData sheetId="13122"/>
      <sheetData sheetId="13123"/>
      <sheetData sheetId="13124"/>
      <sheetData sheetId="13125"/>
      <sheetData sheetId="13126"/>
      <sheetData sheetId="13127"/>
      <sheetData sheetId="13128"/>
      <sheetData sheetId="13129" refreshError="1"/>
      <sheetData sheetId="13130"/>
      <sheetData sheetId="13131"/>
      <sheetData sheetId="13132"/>
      <sheetData sheetId="13133"/>
      <sheetData sheetId="13134"/>
      <sheetData sheetId="13135"/>
      <sheetData sheetId="13136"/>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sheetData sheetId="13169"/>
      <sheetData sheetId="13170"/>
      <sheetData sheetId="13171"/>
      <sheetData sheetId="13172"/>
      <sheetData sheetId="13173"/>
      <sheetData sheetId="13174"/>
      <sheetData sheetId="13175"/>
      <sheetData sheetId="13176"/>
      <sheetData sheetId="13177" refreshError="1"/>
      <sheetData sheetId="13178" refreshError="1"/>
      <sheetData sheetId="13179" refreshError="1"/>
      <sheetData sheetId="13180" refreshError="1"/>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refreshError="1"/>
      <sheetData sheetId="13230" refreshError="1"/>
      <sheetData sheetId="13231" refreshError="1"/>
      <sheetData sheetId="13232" refreshError="1"/>
      <sheetData sheetId="13233"/>
      <sheetData sheetId="13234" refreshError="1"/>
      <sheetData sheetId="13235" refreshError="1"/>
      <sheetData sheetId="13236" refreshError="1"/>
      <sheetData sheetId="13237"/>
      <sheetData sheetId="13238" refreshError="1"/>
      <sheetData sheetId="13239" refreshError="1"/>
      <sheetData sheetId="13240" refreshError="1"/>
      <sheetData sheetId="13241" refreshError="1"/>
      <sheetData sheetId="13242" refreshError="1"/>
      <sheetData sheetId="13243"/>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sheetData sheetId="13322"/>
      <sheetData sheetId="13323"/>
      <sheetData sheetId="13324"/>
      <sheetData sheetId="13325"/>
      <sheetData sheetId="13326"/>
      <sheetData sheetId="13327"/>
      <sheetData sheetId="13328"/>
      <sheetData sheetId="13329"/>
      <sheetData sheetId="13330"/>
      <sheetData sheetId="13331" refreshError="1"/>
      <sheetData sheetId="13332" refreshError="1"/>
      <sheetData sheetId="13333" refreshError="1"/>
      <sheetData sheetId="13334" refreshError="1"/>
      <sheetData sheetId="13335"/>
      <sheetData sheetId="13336"/>
      <sheetData sheetId="13337" refreshError="1"/>
      <sheetData sheetId="13338" refreshError="1"/>
      <sheetData sheetId="13339" refreshError="1"/>
      <sheetData sheetId="13340"/>
      <sheetData sheetId="13341" refreshError="1"/>
      <sheetData sheetId="13342" refreshError="1"/>
      <sheetData sheetId="13343"/>
      <sheetData sheetId="13344"/>
      <sheetData sheetId="13345"/>
      <sheetData sheetId="13346"/>
      <sheetData sheetId="13347"/>
      <sheetData sheetId="13348"/>
      <sheetData sheetId="13349"/>
      <sheetData sheetId="13350"/>
      <sheetData sheetId="1335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sheetData sheetId="13393" refreshError="1"/>
      <sheetData sheetId="13394"/>
      <sheetData sheetId="13395" refreshError="1"/>
      <sheetData sheetId="13396" refreshError="1"/>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row r="9">
          <cell r="A9" t="str">
            <v>A</v>
          </cell>
        </row>
      </sheetData>
      <sheetData sheetId="13898">
        <row r="9">
          <cell r="A9" t="str">
            <v>A</v>
          </cell>
        </row>
      </sheetData>
      <sheetData sheetId="13899">
        <row r="9">
          <cell r="A9" t="str">
            <v>A</v>
          </cell>
        </row>
      </sheetData>
      <sheetData sheetId="13900">
        <row r="9">
          <cell r="A9" t="str">
            <v>A</v>
          </cell>
        </row>
      </sheetData>
      <sheetData sheetId="13901">
        <row r="9">
          <cell r="A9" t="str">
            <v>A</v>
          </cell>
        </row>
      </sheetData>
      <sheetData sheetId="13902">
        <row r="9">
          <cell r="A9" t="str">
            <v>A</v>
          </cell>
        </row>
      </sheetData>
      <sheetData sheetId="13903">
        <row r="9">
          <cell r="A9" t="str">
            <v>A</v>
          </cell>
        </row>
      </sheetData>
      <sheetData sheetId="13904">
        <row r="9">
          <cell r="A9" t="str">
            <v>A</v>
          </cell>
        </row>
      </sheetData>
      <sheetData sheetId="13905">
        <row r="9">
          <cell r="A9" t="str">
            <v>A</v>
          </cell>
        </row>
      </sheetData>
      <sheetData sheetId="13906">
        <row r="9">
          <cell r="A9" t="str">
            <v>A</v>
          </cell>
        </row>
      </sheetData>
      <sheetData sheetId="13907">
        <row r="9">
          <cell r="A9" t="str">
            <v>A</v>
          </cell>
        </row>
      </sheetData>
      <sheetData sheetId="13908">
        <row r="9">
          <cell r="A9" t="str">
            <v>A</v>
          </cell>
        </row>
      </sheetData>
      <sheetData sheetId="13909">
        <row r="9">
          <cell r="A9" t="str">
            <v>A</v>
          </cell>
        </row>
      </sheetData>
      <sheetData sheetId="13910">
        <row r="9">
          <cell r="A9" t="str">
            <v>A</v>
          </cell>
        </row>
      </sheetData>
      <sheetData sheetId="13911">
        <row r="9">
          <cell r="A9" t="str">
            <v>A</v>
          </cell>
        </row>
      </sheetData>
      <sheetData sheetId="13912">
        <row r="9">
          <cell r="A9" t="str">
            <v>A</v>
          </cell>
        </row>
      </sheetData>
      <sheetData sheetId="13913">
        <row r="9">
          <cell r="A9" t="str">
            <v>A</v>
          </cell>
        </row>
      </sheetData>
      <sheetData sheetId="13914">
        <row r="9">
          <cell r="A9" t="str">
            <v>A</v>
          </cell>
        </row>
      </sheetData>
      <sheetData sheetId="13915">
        <row r="9">
          <cell r="A9" t="str">
            <v>A</v>
          </cell>
        </row>
      </sheetData>
      <sheetData sheetId="13916">
        <row r="9">
          <cell r="A9" t="str">
            <v>A</v>
          </cell>
        </row>
      </sheetData>
      <sheetData sheetId="13917">
        <row r="9">
          <cell r="A9" t="str">
            <v>A</v>
          </cell>
        </row>
      </sheetData>
      <sheetData sheetId="13918">
        <row r="9">
          <cell r="A9" t="str">
            <v>A</v>
          </cell>
        </row>
      </sheetData>
      <sheetData sheetId="13919">
        <row r="9">
          <cell r="A9" t="str">
            <v>A</v>
          </cell>
        </row>
      </sheetData>
      <sheetData sheetId="13920">
        <row r="9">
          <cell r="A9" t="str">
            <v>A</v>
          </cell>
        </row>
      </sheetData>
      <sheetData sheetId="13921">
        <row r="9">
          <cell r="A9" t="str">
            <v>A</v>
          </cell>
        </row>
      </sheetData>
      <sheetData sheetId="13922">
        <row r="9">
          <cell r="A9" t="str">
            <v>A</v>
          </cell>
        </row>
      </sheetData>
      <sheetData sheetId="13923">
        <row r="9">
          <cell r="A9" t="str">
            <v>A</v>
          </cell>
        </row>
      </sheetData>
      <sheetData sheetId="13924">
        <row r="9">
          <cell r="A9" t="str">
            <v>A</v>
          </cell>
        </row>
      </sheetData>
      <sheetData sheetId="13925">
        <row r="9">
          <cell r="A9" t="str">
            <v>A</v>
          </cell>
        </row>
      </sheetData>
      <sheetData sheetId="13926">
        <row r="9">
          <cell r="A9" t="str">
            <v>A</v>
          </cell>
        </row>
      </sheetData>
      <sheetData sheetId="13927">
        <row r="9">
          <cell r="A9" t="str">
            <v>A</v>
          </cell>
        </row>
      </sheetData>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row r="9">
          <cell r="A9" t="str">
            <v>A</v>
          </cell>
        </row>
      </sheetData>
      <sheetData sheetId="13942">
        <row r="9">
          <cell r="A9" t="str">
            <v>A</v>
          </cell>
        </row>
      </sheetData>
      <sheetData sheetId="13943">
        <row r="9">
          <cell r="A9" t="str">
            <v>A</v>
          </cell>
        </row>
      </sheetData>
      <sheetData sheetId="13944">
        <row r="9">
          <cell r="A9" t="str">
            <v>A</v>
          </cell>
        </row>
      </sheetData>
      <sheetData sheetId="13945">
        <row r="9">
          <cell r="A9" t="str">
            <v>A</v>
          </cell>
        </row>
      </sheetData>
      <sheetData sheetId="13946">
        <row r="9">
          <cell r="A9" t="str">
            <v>A</v>
          </cell>
        </row>
      </sheetData>
      <sheetData sheetId="13947">
        <row r="9">
          <cell r="A9" t="str">
            <v>A</v>
          </cell>
        </row>
      </sheetData>
      <sheetData sheetId="13948"/>
      <sheetData sheetId="13949"/>
      <sheetData sheetId="13950">
        <row r="9">
          <cell r="A9" t="str">
            <v>A</v>
          </cell>
        </row>
      </sheetData>
      <sheetData sheetId="13951">
        <row r="9">
          <cell r="A9" t="str">
            <v>A</v>
          </cell>
        </row>
      </sheetData>
      <sheetData sheetId="13952">
        <row r="9">
          <cell r="A9" t="str">
            <v>A</v>
          </cell>
        </row>
      </sheetData>
      <sheetData sheetId="13953">
        <row r="9">
          <cell r="A9" t="str">
            <v>A</v>
          </cell>
        </row>
      </sheetData>
      <sheetData sheetId="13954">
        <row r="9">
          <cell r="A9" t="str">
            <v>A</v>
          </cell>
        </row>
      </sheetData>
      <sheetData sheetId="13955">
        <row r="9">
          <cell r="A9" t="str">
            <v>A</v>
          </cell>
        </row>
      </sheetData>
      <sheetData sheetId="13956">
        <row r="9">
          <cell r="A9" t="str">
            <v>A</v>
          </cell>
        </row>
      </sheetData>
      <sheetData sheetId="13957"/>
      <sheetData sheetId="13958"/>
      <sheetData sheetId="13959"/>
      <sheetData sheetId="13960"/>
      <sheetData sheetId="13961">
        <row r="9">
          <cell r="A9" t="str">
            <v>A</v>
          </cell>
        </row>
      </sheetData>
      <sheetData sheetId="13962"/>
      <sheetData sheetId="13963">
        <row r="9">
          <cell r="A9" t="str">
            <v>A</v>
          </cell>
        </row>
      </sheetData>
      <sheetData sheetId="13964">
        <row r="9">
          <cell r="A9" t="str">
            <v>A</v>
          </cell>
        </row>
      </sheetData>
      <sheetData sheetId="13965">
        <row r="9">
          <cell r="A9" t="str">
            <v>A</v>
          </cell>
        </row>
      </sheetData>
      <sheetData sheetId="13966">
        <row r="9">
          <cell r="A9" t="str">
            <v>A</v>
          </cell>
        </row>
      </sheetData>
      <sheetData sheetId="13967">
        <row r="9">
          <cell r="A9" t="str">
            <v>A</v>
          </cell>
        </row>
      </sheetData>
      <sheetData sheetId="13968">
        <row r="9">
          <cell r="A9" t="str">
            <v>A</v>
          </cell>
        </row>
      </sheetData>
      <sheetData sheetId="13969">
        <row r="9">
          <cell r="A9" t="str">
            <v>A</v>
          </cell>
        </row>
      </sheetData>
      <sheetData sheetId="13970">
        <row r="9">
          <cell r="A9" t="str">
            <v>A</v>
          </cell>
        </row>
      </sheetData>
      <sheetData sheetId="13971"/>
      <sheetData sheetId="13972">
        <row r="9">
          <cell r="A9" t="str">
            <v>A</v>
          </cell>
        </row>
      </sheetData>
      <sheetData sheetId="13973">
        <row r="9">
          <cell r="A9" t="str">
            <v>A</v>
          </cell>
        </row>
      </sheetData>
      <sheetData sheetId="13974">
        <row r="9">
          <cell r="A9" t="str">
            <v>A</v>
          </cell>
        </row>
      </sheetData>
      <sheetData sheetId="13975">
        <row r="9">
          <cell r="A9" t="str">
            <v>A</v>
          </cell>
        </row>
      </sheetData>
      <sheetData sheetId="13976">
        <row r="9">
          <cell r="A9" t="str">
            <v>A</v>
          </cell>
        </row>
      </sheetData>
      <sheetData sheetId="13977">
        <row r="9">
          <cell r="A9" t="str">
            <v>A</v>
          </cell>
        </row>
      </sheetData>
      <sheetData sheetId="13978">
        <row r="9">
          <cell r="A9" t="str">
            <v>A</v>
          </cell>
        </row>
      </sheetData>
      <sheetData sheetId="13979">
        <row r="9">
          <cell r="A9" t="str">
            <v>A</v>
          </cell>
        </row>
      </sheetData>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row r="9">
          <cell r="A9" t="str">
            <v>A</v>
          </cell>
        </row>
      </sheetData>
      <sheetData sheetId="13997">
        <row r="9">
          <cell r="A9" t="str">
            <v>A</v>
          </cell>
        </row>
      </sheetData>
      <sheetData sheetId="13998">
        <row r="9">
          <cell r="A9" t="str">
            <v>A</v>
          </cell>
        </row>
      </sheetData>
      <sheetData sheetId="13999">
        <row r="9">
          <cell r="A9" t="str">
            <v>A</v>
          </cell>
        </row>
      </sheetData>
      <sheetData sheetId="14000">
        <row r="9">
          <cell r="A9" t="str">
            <v>A</v>
          </cell>
        </row>
      </sheetData>
      <sheetData sheetId="14001">
        <row r="9">
          <cell r="A9" t="str">
            <v>A</v>
          </cell>
        </row>
      </sheetData>
      <sheetData sheetId="14002">
        <row r="9">
          <cell r="A9" t="str">
            <v>A</v>
          </cell>
        </row>
      </sheetData>
      <sheetData sheetId="14003"/>
      <sheetData sheetId="14004"/>
      <sheetData sheetId="14005"/>
      <sheetData sheetId="14006"/>
      <sheetData sheetId="14007">
        <row r="9">
          <cell r="A9" t="str">
            <v>A</v>
          </cell>
        </row>
      </sheetData>
      <sheetData sheetId="14008"/>
      <sheetData sheetId="14009"/>
      <sheetData sheetId="14010"/>
      <sheetData sheetId="14011"/>
      <sheetData sheetId="14012"/>
      <sheetData sheetId="14013"/>
      <sheetData sheetId="14014"/>
      <sheetData sheetId="14015"/>
      <sheetData sheetId="14016">
        <row r="9">
          <cell r="A9" t="str">
            <v>A</v>
          </cell>
        </row>
      </sheetData>
      <sheetData sheetId="14017"/>
      <sheetData sheetId="14018">
        <row r="9">
          <cell r="A9" t="str">
            <v>A</v>
          </cell>
        </row>
      </sheetData>
      <sheetData sheetId="14019">
        <row r="9">
          <cell r="A9" t="str">
            <v>A</v>
          </cell>
        </row>
      </sheetData>
      <sheetData sheetId="14020">
        <row r="9">
          <cell r="A9" t="str">
            <v>A</v>
          </cell>
        </row>
      </sheetData>
      <sheetData sheetId="14021">
        <row r="9">
          <cell r="A9" t="str">
            <v>A</v>
          </cell>
        </row>
      </sheetData>
      <sheetData sheetId="14022">
        <row r="9">
          <cell r="A9" t="str">
            <v>A</v>
          </cell>
        </row>
      </sheetData>
      <sheetData sheetId="14023">
        <row r="9">
          <cell r="A9" t="str">
            <v>A</v>
          </cell>
        </row>
      </sheetData>
      <sheetData sheetId="14024">
        <row r="9">
          <cell r="A9" t="str">
            <v>A</v>
          </cell>
        </row>
      </sheetData>
      <sheetData sheetId="14025">
        <row r="9">
          <cell r="A9" t="str">
            <v>A</v>
          </cell>
        </row>
      </sheetData>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refreshError="1"/>
      <sheetData sheetId="14208" refreshError="1"/>
      <sheetData sheetId="14209"/>
      <sheetData sheetId="14210" refreshError="1"/>
      <sheetData sheetId="14211"/>
      <sheetData sheetId="14212"/>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sheetData sheetId="14232"/>
      <sheetData sheetId="14233"/>
      <sheetData sheetId="14234"/>
      <sheetData sheetId="14235"/>
      <sheetData sheetId="14236"/>
      <sheetData sheetId="14237"/>
      <sheetData sheetId="14238"/>
      <sheetData sheetId="14239"/>
      <sheetData sheetId="14240"/>
      <sheetData sheetId="1424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sheetData sheetId="14454"/>
      <sheetData sheetId="14455"/>
      <sheetData sheetId="14456" refreshError="1"/>
      <sheetData sheetId="14457" refreshError="1"/>
      <sheetData sheetId="14458" refreshError="1"/>
      <sheetData sheetId="14459" refreshError="1"/>
      <sheetData sheetId="14460"/>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refreshError="1"/>
      <sheetData sheetId="14708"/>
      <sheetData sheetId="14709"/>
      <sheetData sheetId="14710" refreshError="1"/>
      <sheetData sheetId="14711" refreshError="1"/>
      <sheetData sheetId="14712" refreshError="1"/>
      <sheetData sheetId="14713" refreshError="1"/>
      <sheetData sheetId="14714" refreshError="1"/>
      <sheetData sheetId="14715" refreshError="1"/>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refreshError="1"/>
      <sheetData sheetId="14735" refreshError="1"/>
      <sheetData sheetId="14736" refreshError="1"/>
      <sheetData sheetId="14737" refreshError="1"/>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refreshError="1"/>
      <sheetData sheetId="14762" refreshError="1"/>
      <sheetData sheetId="14763" refreshError="1"/>
      <sheetData sheetId="14764" refreshError="1"/>
      <sheetData sheetId="14765" refreshError="1"/>
      <sheetData sheetId="14766" refreshError="1"/>
      <sheetData sheetId="14767"/>
      <sheetData sheetId="14768" refreshError="1"/>
      <sheetData sheetId="14769" refreshError="1"/>
      <sheetData sheetId="14770"/>
      <sheetData sheetId="14771"/>
      <sheetData sheetId="14772"/>
      <sheetData sheetId="14773"/>
      <sheetData sheetId="14774"/>
      <sheetData sheetId="14775"/>
      <sheetData sheetId="14776"/>
      <sheetData sheetId="14777"/>
      <sheetData sheetId="14778"/>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ow r="9">
          <cell r="A9" t="str">
            <v>A</v>
          </cell>
        </row>
      </sheetData>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ow r="9">
          <cell r="A9" t="str">
            <v>A</v>
          </cell>
        </row>
      </sheetData>
      <sheetData sheetId="15557">
        <row r="9">
          <cell r="A9" t="str">
            <v>A</v>
          </cell>
        </row>
      </sheetData>
      <sheetData sheetId="15558"/>
      <sheetData sheetId="15559"/>
      <sheetData sheetId="15560"/>
      <sheetData sheetId="15561"/>
      <sheetData sheetId="15562"/>
      <sheetData sheetId="15563"/>
      <sheetData sheetId="15564">
        <row r="9">
          <cell r="A9" t="str">
            <v>A</v>
          </cell>
        </row>
      </sheetData>
      <sheetData sheetId="15565">
        <row r="9">
          <cell r="A9" t="str">
            <v>A</v>
          </cell>
        </row>
      </sheetData>
      <sheetData sheetId="15566">
        <row r="9">
          <cell r="A9" t="str">
            <v>A</v>
          </cell>
        </row>
      </sheetData>
      <sheetData sheetId="15567"/>
      <sheetData sheetId="15568"/>
      <sheetData sheetId="15569"/>
      <sheetData sheetId="15570"/>
      <sheetData sheetId="15571"/>
      <sheetData sheetId="15572"/>
      <sheetData sheetId="15573"/>
      <sheetData sheetId="15574"/>
      <sheetData sheetId="15575"/>
      <sheetData sheetId="15576"/>
      <sheetData sheetId="15577"/>
      <sheetData sheetId="15578"/>
      <sheetData sheetId="15579"/>
      <sheetData sheetId="15580"/>
      <sheetData sheetId="15581"/>
      <sheetData sheetId="15582"/>
      <sheetData sheetId="15583"/>
      <sheetData sheetId="15584"/>
      <sheetData sheetId="15585"/>
      <sheetData sheetId="15586"/>
      <sheetData sheetId="15587"/>
      <sheetData sheetId="15588"/>
      <sheetData sheetId="15589"/>
      <sheetData sheetId="15590"/>
      <sheetData sheetId="15591"/>
      <sheetData sheetId="15592"/>
      <sheetData sheetId="15593"/>
      <sheetData sheetId="15594"/>
      <sheetData sheetId="15595"/>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sheetData sheetId="15604"/>
      <sheetData sheetId="15605"/>
      <sheetData sheetId="15606"/>
      <sheetData sheetId="15607">
        <row r="9">
          <cell r="A9" t="str">
            <v>A</v>
          </cell>
        </row>
      </sheetData>
      <sheetData sheetId="15608"/>
      <sheetData sheetId="15609"/>
      <sheetData sheetId="15610"/>
      <sheetData sheetId="15611"/>
      <sheetData sheetId="15612"/>
      <sheetData sheetId="15613"/>
      <sheetData sheetId="15614"/>
      <sheetData sheetId="15615"/>
      <sheetData sheetId="15616">
        <row r="9">
          <cell r="A9" t="str">
            <v>A</v>
          </cell>
        </row>
      </sheetData>
      <sheetData sheetId="15617"/>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sheetData sheetId="15627"/>
      <sheetData sheetId="15628"/>
      <sheetData sheetId="15629"/>
      <sheetData sheetId="15630"/>
      <sheetData sheetId="15631"/>
      <sheetData sheetId="15632"/>
      <sheetData sheetId="15633"/>
      <sheetData sheetId="15634"/>
      <sheetData sheetId="15635"/>
      <sheetData sheetId="15636"/>
      <sheetData sheetId="15637"/>
      <sheetData sheetId="15638"/>
      <sheetData sheetId="15639"/>
      <sheetData sheetId="15640"/>
      <sheetData sheetId="15641"/>
      <sheetData sheetId="15642"/>
      <sheetData sheetId="15643"/>
      <sheetData sheetId="15644"/>
      <sheetData sheetId="15645"/>
      <sheetData sheetId="15646"/>
      <sheetData sheetId="15647"/>
      <sheetData sheetId="15648"/>
      <sheetData sheetId="15649"/>
      <sheetData sheetId="15650"/>
      <sheetData sheetId="15651"/>
      <sheetData sheetId="15652"/>
      <sheetData sheetId="15653"/>
      <sheetData sheetId="15654"/>
      <sheetData sheetId="15655"/>
      <sheetData sheetId="15656"/>
      <sheetData sheetId="15657"/>
      <sheetData sheetId="15658"/>
      <sheetData sheetId="15659"/>
      <sheetData sheetId="15660"/>
      <sheetData sheetId="15661"/>
      <sheetData sheetId="15662"/>
      <sheetData sheetId="15663" refreshError="1"/>
      <sheetData sheetId="15664" refreshError="1"/>
      <sheetData sheetId="15665" refreshError="1"/>
      <sheetData sheetId="15666"/>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sheetData sheetId="16305"/>
      <sheetData sheetId="16306"/>
      <sheetData sheetId="16307"/>
      <sheetData sheetId="16308" refreshError="1"/>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refreshError="1"/>
      <sheetData sheetId="16336" refreshError="1"/>
      <sheetData sheetId="16337"/>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sheetData sheetId="16356" refreshError="1"/>
      <sheetData sheetId="16357" refreshError="1"/>
      <sheetData sheetId="16358"/>
      <sheetData sheetId="16359"/>
      <sheetData sheetId="16360" refreshError="1"/>
      <sheetData sheetId="16361" refreshError="1"/>
      <sheetData sheetId="16362" refreshError="1"/>
      <sheetData sheetId="16363"/>
      <sheetData sheetId="16364" refreshError="1"/>
      <sheetData sheetId="16365"/>
      <sheetData sheetId="16366"/>
      <sheetData sheetId="16367" refreshError="1"/>
      <sheetData sheetId="16368"/>
      <sheetData sheetId="16369"/>
      <sheetData sheetId="16370"/>
      <sheetData sheetId="16371"/>
      <sheetData sheetId="16372"/>
      <sheetData sheetId="16373"/>
      <sheetData sheetId="16374"/>
      <sheetData sheetId="16375"/>
      <sheetData sheetId="16376"/>
      <sheetData sheetId="16377"/>
      <sheetData sheetId="16378" refreshError="1"/>
      <sheetData sheetId="16379" refreshError="1"/>
      <sheetData sheetId="16380" refreshError="1"/>
      <sheetData sheetId="16381" refreshError="1"/>
      <sheetData sheetId="16382" refreshError="1"/>
      <sheetData sheetId="16383" refreshError="1"/>
      <sheetData sheetId="16384"/>
      <sheetData sheetId="16385" refreshError="1"/>
      <sheetData sheetId="16386" refreshError="1"/>
      <sheetData sheetId="16387" refreshError="1"/>
      <sheetData sheetId="16388" refreshError="1"/>
      <sheetData sheetId="16389" refreshError="1"/>
      <sheetData sheetId="16390"/>
      <sheetData sheetId="16391"/>
      <sheetData sheetId="16392"/>
      <sheetData sheetId="16393"/>
      <sheetData sheetId="16394" refreshError="1"/>
      <sheetData sheetId="16395"/>
      <sheetData sheetId="16396"/>
      <sheetData sheetId="16397" refreshError="1"/>
      <sheetData sheetId="16398" refreshError="1"/>
      <sheetData sheetId="16399" refreshError="1"/>
      <sheetData sheetId="16400" refreshError="1"/>
      <sheetData sheetId="16401"/>
      <sheetData sheetId="16402"/>
      <sheetData sheetId="16403"/>
      <sheetData sheetId="16404"/>
      <sheetData sheetId="16405"/>
      <sheetData sheetId="16406"/>
      <sheetData sheetId="16407"/>
      <sheetData sheetId="16408" refreshError="1"/>
      <sheetData sheetId="16409" refreshError="1"/>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refreshError="1"/>
      <sheetData sheetId="16481"/>
      <sheetData sheetId="16482" refreshError="1"/>
      <sheetData sheetId="16483"/>
      <sheetData sheetId="16484"/>
      <sheetData sheetId="16485"/>
      <sheetData sheetId="16486" refreshError="1"/>
      <sheetData sheetId="16487" refreshError="1"/>
      <sheetData sheetId="16488"/>
      <sheetData sheetId="16489"/>
      <sheetData sheetId="16490"/>
      <sheetData sheetId="16491"/>
      <sheetData sheetId="16492"/>
      <sheetData sheetId="16493"/>
      <sheetData sheetId="16494"/>
      <sheetData sheetId="16495"/>
      <sheetData sheetId="16496"/>
      <sheetData sheetId="16497"/>
      <sheetData sheetId="16498" refreshError="1"/>
      <sheetData sheetId="16499"/>
      <sheetData sheetId="16500"/>
      <sheetData sheetId="16501"/>
      <sheetData sheetId="16502"/>
      <sheetData sheetId="16503" refreshError="1"/>
      <sheetData sheetId="16504"/>
      <sheetData sheetId="16505"/>
      <sheetData sheetId="16506" refreshError="1"/>
      <sheetData sheetId="16507" refreshError="1"/>
      <sheetData sheetId="16508" refreshError="1"/>
      <sheetData sheetId="16509" refreshError="1"/>
      <sheetData sheetId="16510"/>
      <sheetData sheetId="16511"/>
      <sheetData sheetId="16512"/>
      <sheetData sheetId="16513"/>
      <sheetData sheetId="16514"/>
      <sheetData sheetId="16515"/>
      <sheetData sheetId="16516"/>
      <sheetData sheetId="16517" refreshError="1"/>
      <sheetData sheetId="16518" refreshError="1"/>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refreshError="1"/>
      <sheetData sheetId="16590" refreshError="1"/>
      <sheetData sheetId="16591" refreshError="1"/>
      <sheetData sheetId="16592" refreshError="1"/>
      <sheetData sheetId="16593" refreshError="1"/>
      <sheetData sheetId="16594" refreshError="1"/>
      <sheetData sheetId="16595"/>
      <sheetData sheetId="16596" refreshError="1"/>
      <sheetData sheetId="16597"/>
      <sheetData sheetId="16598">
        <row r="9">
          <cell r="A9" t="str">
            <v>A</v>
          </cell>
        </row>
      </sheetData>
      <sheetData sheetId="16599">
        <row r="9">
          <cell r="A9" t="str">
            <v>A</v>
          </cell>
        </row>
      </sheetData>
      <sheetData sheetId="16600">
        <row r="9">
          <cell r="A9" t="str">
            <v>A</v>
          </cell>
        </row>
      </sheetData>
      <sheetData sheetId="16601"/>
      <sheetData sheetId="16602"/>
      <sheetData sheetId="16603">
        <row r="9">
          <cell r="A9" t="str">
            <v>A</v>
          </cell>
        </row>
      </sheetData>
      <sheetData sheetId="16604"/>
      <sheetData sheetId="16605"/>
      <sheetData sheetId="16606"/>
      <sheetData sheetId="16607"/>
      <sheetData sheetId="16608"/>
      <sheetData sheetId="16609"/>
      <sheetData sheetId="16610">
        <row r="9">
          <cell r="A9" t="str">
            <v>A</v>
          </cell>
        </row>
      </sheetData>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sheetData sheetId="16639"/>
      <sheetData sheetId="16640"/>
      <sheetData sheetId="16641"/>
      <sheetData sheetId="16642">
        <row r="9">
          <cell r="A9" t="str">
            <v>A</v>
          </cell>
        </row>
      </sheetData>
      <sheetData sheetId="16643"/>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sheetData sheetId="16663"/>
      <sheetData sheetId="16664"/>
      <sheetData sheetId="16665">
        <row r="9">
          <cell r="A9" t="str">
            <v>A</v>
          </cell>
        </row>
      </sheetData>
      <sheetData sheetId="16666"/>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sheetData sheetId="16676">
        <row r="9">
          <cell r="A9" t="str">
            <v>A</v>
          </cell>
        </row>
      </sheetData>
      <sheetData sheetId="16677"/>
      <sheetData sheetId="16678"/>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refreshError="1"/>
      <sheetData sheetId="16754"/>
      <sheetData sheetId="16755"/>
      <sheetData sheetId="16756"/>
      <sheetData sheetId="16757"/>
      <sheetData sheetId="16758"/>
      <sheetData sheetId="16759">
        <row r="9">
          <cell r="A9" t="str">
            <v>A</v>
          </cell>
        </row>
      </sheetData>
      <sheetData sheetId="16760" refreshError="1"/>
      <sheetData sheetId="16761" refreshError="1"/>
      <sheetData sheetId="16762" refreshError="1"/>
      <sheetData sheetId="16763"/>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efreshError="1"/>
      <sheetData sheetId="16789" refreshError="1"/>
      <sheetData sheetId="16790" refreshError="1"/>
      <sheetData sheetId="16791" refreshError="1"/>
      <sheetData sheetId="16792" refreshError="1"/>
      <sheetData sheetId="16793" refreshError="1"/>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efreshError="1"/>
      <sheetData sheetId="16830" refreshError="1"/>
      <sheetData sheetId="16831" refreshError="1"/>
      <sheetData sheetId="16832" refreshError="1"/>
      <sheetData sheetId="16833" refreshError="1"/>
      <sheetData sheetId="16834" refreshError="1"/>
      <sheetData sheetId="16835" refreshError="1"/>
      <sheetData sheetId="16836" refreshError="1"/>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efreshError="1"/>
      <sheetData sheetId="16845" refreshError="1"/>
      <sheetData sheetId="16846" refreshError="1"/>
      <sheetData sheetId="16847" refreshError="1"/>
      <sheetData sheetId="16848">
        <row r="9">
          <cell r="A9" t="str">
            <v>A</v>
          </cell>
        </row>
      </sheetData>
      <sheetData sheetId="16849">
        <row r="9">
          <cell r="A9" t="str">
            <v>A</v>
          </cell>
        </row>
      </sheetData>
      <sheetData sheetId="16850" refreshError="1"/>
      <sheetData sheetId="16851" refreshError="1"/>
      <sheetData sheetId="16852" refreshError="1"/>
      <sheetData sheetId="16853" refreshError="1"/>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efreshError="1"/>
      <sheetData sheetId="16916" refreshError="1"/>
      <sheetData sheetId="16917" refreshError="1"/>
      <sheetData sheetId="16918" refreshError="1"/>
      <sheetData sheetId="16919">
        <row r="9">
          <cell r="A9" t="str">
            <v>A</v>
          </cell>
        </row>
      </sheetData>
      <sheetData sheetId="16920">
        <row r="9">
          <cell r="A9" t="str">
            <v>A</v>
          </cell>
        </row>
      </sheetData>
      <sheetData sheetId="16921" refreshError="1"/>
      <sheetData sheetId="16922"/>
      <sheetData sheetId="16923"/>
      <sheetData sheetId="16924"/>
      <sheetData sheetId="16925">
        <row r="9">
          <cell r="A9" t="str">
            <v>A</v>
          </cell>
        </row>
      </sheetData>
      <sheetData sheetId="16926"/>
      <sheetData sheetId="16927">
        <row r="9">
          <cell r="A9" t="str">
            <v>A</v>
          </cell>
        </row>
      </sheetData>
      <sheetData sheetId="16928">
        <row r="9">
          <cell r="A9" t="str">
            <v>A</v>
          </cell>
        </row>
      </sheetData>
      <sheetData sheetId="16929"/>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efreshError="1"/>
      <sheetData sheetId="16947" refreshError="1"/>
      <sheetData sheetId="16948" refreshError="1"/>
      <sheetData sheetId="16949" refreshError="1"/>
      <sheetData sheetId="16950" refreshError="1"/>
      <sheetData sheetId="16951" refreshError="1"/>
      <sheetData sheetId="16952">
        <row r="9">
          <cell r="A9" t="str">
            <v>A</v>
          </cell>
        </row>
      </sheetData>
      <sheetData sheetId="16953">
        <row r="9">
          <cell r="A9" t="str">
            <v>A</v>
          </cell>
        </row>
      </sheetData>
      <sheetData sheetId="16954">
        <row r="9">
          <cell r="A9" t="str">
            <v>A</v>
          </cell>
        </row>
      </sheetData>
      <sheetData sheetId="16955" refreshError="1"/>
      <sheetData sheetId="16956" refreshError="1"/>
      <sheetData sheetId="16957" refreshError="1"/>
      <sheetData sheetId="16958" refreshError="1"/>
      <sheetData sheetId="16959" refreshError="1"/>
      <sheetData sheetId="16960" refreshError="1"/>
      <sheetData sheetId="16961" refreshError="1"/>
      <sheetData sheetId="16962">
        <row r="9">
          <cell r="A9" t="str">
            <v>A</v>
          </cell>
        </row>
      </sheetData>
      <sheetData sheetId="16963" refreshError="1"/>
      <sheetData sheetId="16964"/>
      <sheetData sheetId="16965"/>
      <sheetData sheetId="16966"/>
      <sheetData sheetId="16967"/>
      <sheetData sheetId="16968"/>
      <sheetData sheetId="16969"/>
      <sheetData sheetId="16970"/>
      <sheetData sheetId="16971"/>
      <sheetData sheetId="16972"/>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sheetData sheetId="16981"/>
      <sheetData sheetId="16982"/>
      <sheetData sheetId="16983"/>
      <sheetData sheetId="16984">
        <row r="9">
          <cell r="A9" t="str">
            <v>A</v>
          </cell>
        </row>
      </sheetData>
      <sheetData sheetId="16985"/>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sheetData sheetId="17005"/>
      <sheetData sheetId="17006"/>
      <sheetData sheetId="17007">
        <row r="9">
          <cell r="A9" t="str">
            <v>A</v>
          </cell>
        </row>
      </sheetData>
      <sheetData sheetId="17008"/>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sheetData sheetId="17018">
        <row r="9">
          <cell r="A9" t="str">
            <v>A</v>
          </cell>
        </row>
      </sheetData>
      <sheetData sheetId="17019"/>
      <sheetData sheetId="17020"/>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refreshError="1"/>
      <sheetData sheetId="17046" refreshError="1"/>
      <sheetData sheetId="17047" refreshError="1"/>
      <sheetData sheetId="17048" refreshError="1"/>
      <sheetData sheetId="17049" refreshError="1"/>
      <sheetData sheetId="17050" refreshError="1"/>
      <sheetData sheetId="1705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refreshError="1"/>
      <sheetData sheetId="17074" refreshError="1"/>
      <sheetData sheetId="17075"/>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refreshError="1"/>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row r="9">
          <cell r="A9" t="str">
            <v>A</v>
          </cell>
        </row>
      </sheetData>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row r="9">
          <cell r="A9" t="str">
            <v>A</v>
          </cell>
        </row>
      </sheetData>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row r="9">
          <cell r="A9" t="str">
            <v>A</v>
          </cell>
        </row>
      </sheetData>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row r="9">
          <cell r="A9" t="str">
            <v>A</v>
          </cell>
        </row>
      </sheetData>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sheetData sheetId="17614"/>
      <sheetData sheetId="17615"/>
      <sheetData sheetId="17616"/>
      <sheetData sheetId="17617"/>
      <sheetData sheetId="17618"/>
      <sheetData sheetId="17619"/>
      <sheetData sheetId="17620"/>
      <sheetData sheetId="17621"/>
      <sheetData sheetId="17622"/>
      <sheetData sheetId="17623"/>
      <sheetData sheetId="17624"/>
      <sheetData sheetId="17625"/>
      <sheetData sheetId="17626"/>
      <sheetData sheetId="17627"/>
      <sheetData sheetId="17628"/>
      <sheetData sheetId="17629"/>
      <sheetData sheetId="17630"/>
      <sheetData sheetId="17631"/>
      <sheetData sheetId="17632"/>
      <sheetData sheetId="17633"/>
      <sheetData sheetId="17634"/>
      <sheetData sheetId="17635"/>
      <sheetData sheetId="17636"/>
      <sheetData sheetId="17637"/>
      <sheetData sheetId="17638"/>
      <sheetData sheetId="17639"/>
      <sheetData sheetId="17640"/>
      <sheetData sheetId="17641"/>
      <sheetData sheetId="17642"/>
      <sheetData sheetId="17643"/>
      <sheetData sheetId="17644"/>
      <sheetData sheetId="17645"/>
      <sheetData sheetId="17646"/>
      <sheetData sheetId="17647"/>
      <sheetData sheetId="17648"/>
      <sheetData sheetId="17649"/>
      <sheetData sheetId="17650"/>
      <sheetData sheetId="17651"/>
      <sheetData sheetId="17652"/>
      <sheetData sheetId="17653"/>
      <sheetData sheetId="17654"/>
      <sheetData sheetId="17655"/>
      <sheetData sheetId="17656"/>
      <sheetData sheetId="17657"/>
      <sheetData sheetId="17658"/>
      <sheetData sheetId="17659"/>
      <sheetData sheetId="17660"/>
      <sheetData sheetId="17661"/>
      <sheetData sheetId="17662"/>
      <sheetData sheetId="17663"/>
      <sheetData sheetId="17664"/>
      <sheetData sheetId="17665"/>
      <sheetData sheetId="17666"/>
      <sheetData sheetId="17667"/>
      <sheetData sheetId="17668"/>
      <sheetData sheetId="17669"/>
      <sheetData sheetId="17670"/>
      <sheetData sheetId="17671"/>
      <sheetData sheetId="17672"/>
      <sheetData sheetId="17673"/>
      <sheetData sheetId="17674"/>
      <sheetData sheetId="17675"/>
      <sheetData sheetId="17676"/>
      <sheetData sheetId="17677"/>
      <sheetData sheetId="17678"/>
      <sheetData sheetId="17679"/>
      <sheetData sheetId="17680"/>
      <sheetData sheetId="17681"/>
      <sheetData sheetId="17682"/>
      <sheetData sheetId="17683"/>
      <sheetData sheetId="17684"/>
      <sheetData sheetId="17685"/>
      <sheetData sheetId="17686"/>
      <sheetData sheetId="17687"/>
      <sheetData sheetId="17688"/>
      <sheetData sheetId="17689"/>
      <sheetData sheetId="17690"/>
      <sheetData sheetId="17691"/>
      <sheetData sheetId="17692"/>
      <sheetData sheetId="17693"/>
      <sheetData sheetId="17694"/>
      <sheetData sheetId="17695"/>
      <sheetData sheetId="17696"/>
      <sheetData sheetId="17697"/>
      <sheetData sheetId="17698"/>
      <sheetData sheetId="17699"/>
      <sheetData sheetId="17700"/>
      <sheetData sheetId="17701"/>
      <sheetData sheetId="17702"/>
      <sheetData sheetId="17703"/>
      <sheetData sheetId="17704"/>
      <sheetData sheetId="17705"/>
      <sheetData sheetId="17706"/>
      <sheetData sheetId="17707"/>
      <sheetData sheetId="17708"/>
      <sheetData sheetId="17709"/>
      <sheetData sheetId="17710"/>
      <sheetData sheetId="17711"/>
      <sheetData sheetId="17712"/>
      <sheetData sheetId="17713"/>
      <sheetData sheetId="17714"/>
      <sheetData sheetId="17715"/>
      <sheetData sheetId="17716"/>
      <sheetData sheetId="17717"/>
      <sheetData sheetId="17718"/>
      <sheetData sheetId="17719"/>
      <sheetData sheetId="17720"/>
      <sheetData sheetId="17721"/>
      <sheetData sheetId="17722"/>
      <sheetData sheetId="17723"/>
      <sheetData sheetId="17724"/>
      <sheetData sheetId="17725"/>
      <sheetData sheetId="17726"/>
      <sheetData sheetId="17727"/>
      <sheetData sheetId="17728"/>
      <sheetData sheetId="17729"/>
      <sheetData sheetId="17730"/>
      <sheetData sheetId="17731"/>
      <sheetData sheetId="17732"/>
      <sheetData sheetId="17733"/>
      <sheetData sheetId="17734"/>
      <sheetData sheetId="17735"/>
      <sheetData sheetId="17736"/>
      <sheetData sheetId="17737"/>
      <sheetData sheetId="17738"/>
      <sheetData sheetId="17739"/>
      <sheetData sheetId="17740"/>
      <sheetData sheetId="17741"/>
      <sheetData sheetId="17742"/>
      <sheetData sheetId="17743"/>
      <sheetData sheetId="17744"/>
      <sheetData sheetId="17745"/>
      <sheetData sheetId="17746"/>
      <sheetData sheetId="17747"/>
      <sheetData sheetId="17748"/>
      <sheetData sheetId="17749"/>
      <sheetData sheetId="17750"/>
      <sheetData sheetId="17751"/>
      <sheetData sheetId="17752"/>
      <sheetData sheetId="17753"/>
      <sheetData sheetId="17754"/>
      <sheetData sheetId="17755"/>
      <sheetData sheetId="17756"/>
      <sheetData sheetId="17757"/>
      <sheetData sheetId="17758"/>
      <sheetData sheetId="17759"/>
      <sheetData sheetId="17760"/>
      <sheetData sheetId="17761"/>
      <sheetData sheetId="17762"/>
      <sheetData sheetId="17763"/>
      <sheetData sheetId="17764"/>
      <sheetData sheetId="17765"/>
      <sheetData sheetId="17766"/>
      <sheetData sheetId="17767"/>
      <sheetData sheetId="17768"/>
      <sheetData sheetId="17769"/>
      <sheetData sheetId="17770"/>
      <sheetData sheetId="17771"/>
      <sheetData sheetId="17772"/>
      <sheetData sheetId="17773"/>
      <sheetData sheetId="17774"/>
      <sheetData sheetId="17775"/>
      <sheetData sheetId="17776"/>
      <sheetData sheetId="17777"/>
      <sheetData sheetId="17778"/>
      <sheetData sheetId="17779"/>
      <sheetData sheetId="17780"/>
      <sheetData sheetId="17781"/>
      <sheetData sheetId="17782"/>
      <sheetData sheetId="17783"/>
      <sheetData sheetId="17784"/>
      <sheetData sheetId="17785"/>
      <sheetData sheetId="17786"/>
      <sheetData sheetId="17787"/>
      <sheetData sheetId="17788"/>
      <sheetData sheetId="17789"/>
      <sheetData sheetId="17790"/>
      <sheetData sheetId="17791"/>
      <sheetData sheetId="17792"/>
      <sheetData sheetId="17793"/>
      <sheetData sheetId="17794"/>
      <sheetData sheetId="17795"/>
      <sheetData sheetId="17796"/>
      <sheetData sheetId="17797"/>
      <sheetData sheetId="17798"/>
      <sheetData sheetId="17799"/>
      <sheetData sheetId="17800"/>
      <sheetData sheetId="17801"/>
      <sheetData sheetId="17802"/>
      <sheetData sheetId="17803"/>
      <sheetData sheetId="17804"/>
      <sheetData sheetId="17805"/>
      <sheetData sheetId="17806"/>
      <sheetData sheetId="17807"/>
      <sheetData sheetId="17808"/>
      <sheetData sheetId="17809"/>
      <sheetData sheetId="17810"/>
      <sheetData sheetId="17811"/>
      <sheetData sheetId="17812"/>
      <sheetData sheetId="17813"/>
      <sheetData sheetId="17814"/>
      <sheetData sheetId="17815"/>
      <sheetData sheetId="17816"/>
      <sheetData sheetId="17817"/>
      <sheetData sheetId="17818"/>
      <sheetData sheetId="17819"/>
      <sheetData sheetId="17820"/>
      <sheetData sheetId="17821"/>
      <sheetData sheetId="17822"/>
      <sheetData sheetId="17823"/>
      <sheetData sheetId="17824"/>
      <sheetData sheetId="17825"/>
      <sheetData sheetId="17826"/>
      <sheetData sheetId="17827"/>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sheetData sheetId="17851"/>
      <sheetData sheetId="17852" refreshError="1"/>
      <sheetData sheetId="17853" refreshError="1"/>
      <sheetData sheetId="17854" refreshError="1"/>
      <sheetData sheetId="17855"/>
      <sheetData sheetId="17856"/>
      <sheetData sheetId="17857"/>
      <sheetData sheetId="17858"/>
      <sheetData sheetId="17859"/>
      <sheetData sheetId="17860"/>
      <sheetData sheetId="17861"/>
      <sheetData sheetId="17862"/>
      <sheetData sheetId="17863"/>
      <sheetData sheetId="17864"/>
      <sheetData sheetId="17865"/>
      <sheetData sheetId="17866"/>
      <sheetData sheetId="17867"/>
      <sheetData sheetId="17868"/>
      <sheetData sheetId="17869"/>
      <sheetData sheetId="17870"/>
      <sheetData sheetId="17871"/>
      <sheetData sheetId="17872"/>
      <sheetData sheetId="17873"/>
      <sheetData sheetId="17874"/>
      <sheetData sheetId="17875" refreshError="1"/>
      <sheetData sheetId="17876" refreshError="1"/>
      <sheetData sheetId="17877" refreshError="1"/>
      <sheetData sheetId="17878"/>
      <sheetData sheetId="17879"/>
      <sheetData sheetId="17880"/>
      <sheetData sheetId="17881"/>
      <sheetData sheetId="17882"/>
      <sheetData sheetId="17883"/>
      <sheetData sheetId="17884"/>
      <sheetData sheetId="17885"/>
      <sheetData sheetId="17886"/>
      <sheetData sheetId="17887"/>
      <sheetData sheetId="17888"/>
      <sheetData sheetId="17889"/>
      <sheetData sheetId="17890"/>
      <sheetData sheetId="17891"/>
      <sheetData sheetId="17892"/>
      <sheetData sheetId="17893"/>
      <sheetData sheetId="17894"/>
      <sheetData sheetId="17895"/>
      <sheetData sheetId="17896"/>
      <sheetData sheetId="17897"/>
      <sheetData sheetId="17898"/>
      <sheetData sheetId="17899"/>
      <sheetData sheetId="17900"/>
      <sheetData sheetId="17901"/>
      <sheetData sheetId="17902"/>
      <sheetData sheetId="17903"/>
      <sheetData sheetId="17904"/>
      <sheetData sheetId="17905"/>
      <sheetData sheetId="17906"/>
      <sheetData sheetId="17907"/>
      <sheetData sheetId="17908"/>
      <sheetData sheetId="17909"/>
      <sheetData sheetId="17910"/>
      <sheetData sheetId="17911"/>
      <sheetData sheetId="17912"/>
      <sheetData sheetId="17913"/>
      <sheetData sheetId="17914"/>
      <sheetData sheetId="17915"/>
      <sheetData sheetId="17916"/>
      <sheetData sheetId="17917"/>
      <sheetData sheetId="17918"/>
      <sheetData sheetId="17919"/>
      <sheetData sheetId="17920"/>
      <sheetData sheetId="17921"/>
      <sheetData sheetId="17922"/>
      <sheetData sheetId="17923"/>
      <sheetData sheetId="17924"/>
      <sheetData sheetId="17925"/>
      <sheetData sheetId="17926"/>
      <sheetData sheetId="17927"/>
      <sheetData sheetId="17928"/>
      <sheetData sheetId="17929"/>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refreshError="1"/>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refreshError="1"/>
      <sheetData sheetId="17968" refreshError="1"/>
      <sheetData sheetId="17969"/>
      <sheetData sheetId="17970"/>
      <sheetData sheetId="17971"/>
      <sheetData sheetId="17972"/>
      <sheetData sheetId="17973" refreshError="1"/>
      <sheetData sheetId="17974"/>
      <sheetData sheetId="17975"/>
      <sheetData sheetId="17976"/>
      <sheetData sheetId="17977"/>
      <sheetData sheetId="17978"/>
      <sheetData sheetId="17979" refreshError="1"/>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sheetData sheetId="18010"/>
      <sheetData sheetId="18011" refreshError="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refreshError="1"/>
      <sheetData sheetId="18070" refreshError="1"/>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refreshError="1"/>
      <sheetData sheetId="18218" refreshError="1"/>
      <sheetData sheetId="18219" refreshError="1"/>
      <sheetData sheetId="18220" refreshError="1"/>
      <sheetData sheetId="18221" refreshError="1"/>
      <sheetData sheetId="18222"/>
      <sheetData sheetId="18223"/>
      <sheetData sheetId="18224"/>
      <sheetData sheetId="18225"/>
      <sheetData sheetId="18226"/>
      <sheetData sheetId="18227"/>
      <sheetData sheetId="18228"/>
      <sheetData sheetId="18229"/>
      <sheetData sheetId="18230" refreshError="1"/>
      <sheetData sheetId="18231" refreshError="1"/>
      <sheetData sheetId="18232"/>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refreshError="1"/>
      <sheetData sheetId="18276" refreshError="1"/>
      <sheetData sheetId="18277" refreshError="1"/>
      <sheetData sheetId="18278"/>
      <sheetData sheetId="18279" refreshError="1"/>
      <sheetData sheetId="18280"/>
      <sheetData sheetId="18281"/>
      <sheetData sheetId="18282"/>
      <sheetData sheetId="18283"/>
      <sheetData sheetId="18284"/>
      <sheetData sheetId="18285"/>
      <sheetData sheetId="18286"/>
      <sheetData sheetId="18287"/>
      <sheetData sheetId="18288"/>
      <sheetData sheetId="18289"/>
      <sheetData sheetId="18290"/>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refreshError="1"/>
      <sheetData sheetId="18408" refreshError="1"/>
      <sheetData sheetId="18409" refreshError="1"/>
      <sheetData sheetId="18410" refreshError="1"/>
      <sheetData sheetId="18411"/>
      <sheetData sheetId="18412" refreshError="1"/>
      <sheetData sheetId="18413" refreshError="1"/>
      <sheetData sheetId="18414" refreshError="1"/>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refreshError="1"/>
      <sheetData sheetId="18598" refreshError="1"/>
      <sheetData sheetId="18599" refreshError="1"/>
      <sheetData sheetId="18600"/>
      <sheetData sheetId="18601" refreshError="1"/>
      <sheetData sheetId="18602" refreshError="1"/>
      <sheetData sheetId="18603" refreshError="1"/>
      <sheetData sheetId="18604" refreshError="1"/>
      <sheetData sheetId="18605" refreshError="1"/>
      <sheetData sheetId="18606" refreshError="1"/>
      <sheetData sheetId="18607"/>
      <sheetData sheetId="18608"/>
      <sheetData sheetId="18609"/>
      <sheetData sheetId="18610" refreshError="1"/>
      <sheetData sheetId="18611" refreshError="1"/>
      <sheetData sheetId="18612" refreshError="1"/>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refreshError="1"/>
      <sheetData sheetId="18639"/>
      <sheetData sheetId="18640"/>
      <sheetData sheetId="18641"/>
      <sheetData sheetId="18642"/>
      <sheetData sheetId="18643"/>
      <sheetData sheetId="18644"/>
      <sheetData sheetId="18645"/>
      <sheetData sheetId="18646"/>
      <sheetData sheetId="18647"/>
      <sheetData sheetId="18648"/>
      <sheetData sheetId="18649" refreshError="1"/>
      <sheetData sheetId="18650"/>
      <sheetData sheetId="18651"/>
      <sheetData sheetId="18652"/>
      <sheetData sheetId="18653"/>
      <sheetData sheetId="18654"/>
      <sheetData sheetId="18655"/>
      <sheetData sheetId="18656"/>
      <sheetData sheetId="18657"/>
      <sheetData sheetId="18658"/>
      <sheetData sheetId="18659"/>
      <sheetData sheetId="18660" refreshError="1"/>
      <sheetData sheetId="18661" refreshError="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refreshError="1"/>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refreshError="1"/>
      <sheetData sheetId="18747"/>
      <sheetData sheetId="18748"/>
      <sheetData sheetId="18749"/>
      <sheetData sheetId="18750" refreshError="1"/>
      <sheetData sheetId="18751" refreshError="1"/>
      <sheetData sheetId="18752" refreshError="1"/>
      <sheetData sheetId="18753" refreshError="1"/>
      <sheetData sheetId="18754" refreshError="1"/>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refreshError="1"/>
      <sheetData sheetId="18870" refreshError="1"/>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refreshError="1"/>
      <sheetData sheetId="18919" refreshError="1"/>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sheetData sheetId="18944"/>
      <sheetData sheetId="18945" refreshError="1"/>
      <sheetData sheetId="18946" refreshError="1"/>
      <sheetData sheetId="18947" refreshError="1"/>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refreshError="1"/>
      <sheetData sheetId="18963" refreshError="1"/>
      <sheetData sheetId="18964" refreshError="1"/>
      <sheetData sheetId="18965"/>
      <sheetData sheetId="18966"/>
      <sheetData sheetId="18967"/>
      <sheetData sheetId="18968"/>
      <sheetData sheetId="18969"/>
      <sheetData sheetId="18970"/>
      <sheetData sheetId="18971"/>
      <sheetData sheetId="18972"/>
      <sheetData sheetId="18973" refreshError="1"/>
      <sheetData sheetId="18974" refreshError="1"/>
      <sheetData sheetId="18975" refreshError="1"/>
      <sheetData sheetId="18976"/>
      <sheetData sheetId="18977"/>
      <sheetData sheetId="18978"/>
      <sheetData sheetId="18979" refreshError="1"/>
      <sheetData sheetId="18980"/>
      <sheetData sheetId="18981" refreshError="1"/>
      <sheetData sheetId="18982" refreshError="1"/>
      <sheetData sheetId="18983"/>
      <sheetData sheetId="18984"/>
      <sheetData sheetId="18985"/>
      <sheetData sheetId="18986"/>
      <sheetData sheetId="18987"/>
      <sheetData sheetId="18988"/>
      <sheetData sheetId="18989" refreshError="1"/>
      <sheetData sheetId="18990" refreshError="1"/>
      <sheetData sheetId="1899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refreshError="1"/>
      <sheetData sheetId="19286" refreshError="1"/>
      <sheetData sheetId="19287" refreshError="1"/>
      <sheetData sheetId="19288" refreshError="1"/>
      <sheetData sheetId="19289"/>
      <sheetData sheetId="19290"/>
      <sheetData sheetId="19291" refreshError="1"/>
      <sheetData sheetId="19292" refreshError="1"/>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refreshError="1"/>
      <sheetData sheetId="19309" refreshError="1"/>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refreshError="1"/>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refreshError="1"/>
      <sheetData sheetId="19402" refreshError="1"/>
      <sheetData sheetId="19403" refreshError="1"/>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refreshError="1"/>
      <sheetData sheetId="19559"/>
      <sheetData sheetId="19560"/>
      <sheetData sheetId="19561"/>
      <sheetData sheetId="19562"/>
      <sheetData sheetId="19563"/>
      <sheetData sheetId="19564"/>
      <sheetData sheetId="19565"/>
      <sheetData sheetId="19566"/>
      <sheetData sheetId="19567"/>
      <sheetData sheetId="19568"/>
      <sheetData sheetId="19569"/>
      <sheetData sheetId="19570" refreshError="1"/>
      <sheetData sheetId="19571"/>
      <sheetData sheetId="19572"/>
      <sheetData sheetId="19573"/>
      <sheetData sheetId="19574"/>
      <sheetData sheetId="19575"/>
      <sheetData sheetId="19576" refreshError="1"/>
      <sheetData sheetId="19577" refreshError="1"/>
      <sheetData sheetId="19578" refreshError="1"/>
      <sheetData sheetId="19579" refreshError="1"/>
      <sheetData sheetId="19580" refreshError="1"/>
      <sheetData sheetId="19581"/>
      <sheetData sheetId="19582"/>
      <sheetData sheetId="19583"/>
      <sheetData sheetId="19584"/>
      <sheetData sheetId="19585"/>
      <sheetData sheetId="19586"/>
      <sheetData sheetId="19587"/>
      <sheetData sheetId="19588"/>
      <sheetData sheetId="19589" refreshError="1"/>
      <sheetData sheetId="19590" refreshError="1"/>
      <sheetData sheetId="19591" refreshError="1"/>
      <sheetData sheetId="19592" refreshError="1"/>
      <sheetData sheetId="19593"/>
      <sheetData sheetId="19594"/>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sheetData sheetId="19669"/>
      <sheetData sheetId="19670" refreshError="1"/>
      <sheetData sheetId="19671"/>
      <sheetData sheetId="19672" refreshError="1"/>
      <sheetData sheetId="19673"/>
      <sheetData sheetId="19674"/>
      <sheetData sheetId="19675"/>
      <sheetData sheetId="19676"/>
      <sheetData sheetId="19677"/>
      <sheetData sheetId="19678"/>
      <sheetData sheetId="19679"/>
      <sheetData sheetId="19680"/>
      <sheetData sheetId="19681"/>
      <sheetData sheetId="19682"/>
      <sheetData sheetId="19683"/>
      <sheetData sheetId="19684" refreshError="1"/>
      <sheetData sheetId="19685"/>
      <sheetData sheetId="19686"/>
      <sheetData sheetId="19687"/>
      <sheetData sheetId="19688"/>
      <sheetData sheetId="19689" refreshError="1"/>
      <sheetData sheetId="19690"/>
      <sheetData sheetId="19691"/>
      <sheetData sheetId="19692"/>
      <sheetData sheetId="19693"/>
      <sheetData sheetId="19694"/>
      <sheetData sheetId="19695"/>
      <sheetData sheetId="19696"/>
      <sheetData sheetId="19697"/>
      <sheetData sheetId="19698"/>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sheetData sheetId="19707"/>
      <sheetData sheetId="19708"/>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sheetData sheetId="19783" refreshError="1"/>
      <sheetData sheetId="19784"/>
      <sheetData sheetId="19785" refreshError="1"/>
      <sheetData sheetId="19786"/>
      <sheetData sheetId="19787"/>
      <sheetData sheetId="19788"/>
      <sheetData sheetId="19789"/>
      <sheetData sheetId="19790"/>
      <sheetData sheetId="19791"/>
      <sheetData sheetId="19792"/>
      <sheetData sheetId="19793"/>
      <sheetData sheetId="19794"/>
      <sheetData sheetId="19795"/>
      <sheetData sheetId="19796"/>
      <sheetData sheetId="19797" refreshError="1"/>
      <sheetData sheetId="19798"/>
      <sheetData sheetId="19799"/>
      <sheetData sheetId="19800"/>
      <sheetData sheetId="19801"/>
      <sheetData sheetId="19802" refreshError="1"/>
      <sheetData sheetId="19803"/>
      <sheetData sheetId="19804"/>
      <sheetData sheetId="19805"/>
      <sheetData sheetId="19806"/>
      <sheetData sheetId="19807"/>
      <sheetData sheetId="19808"/>
      <sheetData sheetId="19809"/>
      <sheetData sheetId="19810"/>
      <sheetData sheetId="1981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sheetData sheetId="19820"/>
      <sheetData sheetId="1982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sheetData sheetId="19896" refreshError="1"/>
      <sheetData sheetId="19897"/>
      <sheetData sheetId="19898" refreshError="1"/>
      <sheetData sheetId="19899"/>
      <sheetData sheetId="19900"/>
      <sheetData sheetId="19901"/>
      <sheetData sheetId="19902"/>
      <sheetData sheetId="19903"/>
      <sheetData sheetId="19904"/>
      <sheetData sheetId="19905"/>
      <sheetData sheetId="19906"/>
      <sheetData sheetId="19907"/>
      <sheetData sheetId="19908"/>
      <sheetData sheetId="19909"/>
      <sheetData sheetId="19910" refreshError="1"/>
      <sheetData sheetId="19911"/>
      <sheetData sheetId="19912"/>
      <sheetData sheetId="19913"/>
      <sheetData sheetId="19914"/>
      <sheetData sheetId="19915" refreshError="1"/>
      <sheetData sheetId="19916"/>
      <sheetData sheetId="19917"/>
      <sheetData sheetId="19918"/>
      <sheetData sheetId="19919"/>
      <sheetData sheetId="19920"/>
      <sheetData sheetId="19921"/>
      <sheetData sheetId="19922"/>
      <sheetData sheetId="19923"/>
      <sheetData sheetId="19924"/>
      <sheetData sheetId="19925" refreshError="1"/>
      <sheetData sheetId="19926" refreshError="1"/>
      <sheetData sheetId="19927" refreshError="1"/>
      <sheetData sheetId="19928" refreshError="1"/>
      <sheetData sheetId="19929" refreshError="1"/>
      <sheetData sheetId="19930" refreshError="1"/>
      <sheetData sheetId="19931" refreshError="1"/>
      <sheetData sheetId="19932"/>
      <sheetData sheetId="19933"/>
      <sheetData sheetId="19934"/>
      <sheetData sheetId="19935" refreshError="1"/>
      <sheetData sheetId="19936" refreshError="1"/>
      <sheetData sheetId="19937" refreshError="1"/>
      <sheetData sheetId="19938" refreshError="1"/>
      <sheetData sheetId="19939" refreshError="1"/>
      <sheetData sheetId="19940" refreshError="1"/>
      <sheetData sheetId="19941" refreshError="1"/>
      <sheetData sheetId="19942" refreshError="1"/>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sheetData sheetId="20009" refreshError="1"/>
      <sheetData sheetId="20010" refreshError="1"/>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refreshError="1"/>
      <sheetData sheetId="20027" refreshError="1"/>
      <sheetData sheetId="20028" refreshError="1"/>
      <sheetData sheetId="20029"/>
      <sheetData sheetId="20030"/>
      <sheetData sheetId="20031"/>
      <sheetData sheetId="20032"/>
      <sheetData sheetId="20033" refreshError="1"/>
      <sheetData sheetId="20034" refreshError="1"/>
      <sheetData sheetId="20035" refreshError="1"/>
      <sheetData sheetId="20036"/>
      <sheetData sheetId="20037" refreshError="1"/>
      <sheetData sheetId="20038" refreshError="1"/>
      <sheetData sheetId="20039" refreshError="1"/>
      <sheetData sheetId="20040" refreshError="1"/>
      <sheetData sheetId="20041" refreshError="1"/>
      <sheetData sheetId="20042" refreshError="1"/>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sheetData sheetId="20063"/>
      <sheetData sheetId="20064"/>
      <sheetData sheetId="20065" refreshError="1"/>
      <sheetData sheetId="20066" refreshError="1"/>
      <sheetData sheetId="20067" refreshError="1"/>
      <sheetData sheetId="20068" refreshError="1"/>
      <sheetData sheetId="20069" refreshError="1"/>
      <sheetData sheetId="20070" refreshError="1"/>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sheetData sheetId="20139"/>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sheetData sheetId="20148"/>
      <sheetData sheetId="20149" refreshError="1"/>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refreshError="1"/>
      <sheetData sheetId="20166" refreshError="1"/>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refreshError="1"/>
      <sheetData sheetId="20256" refreshError="1"/>
      <sheetData sheetId="20257" refreshError="1"/>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refreshError="1"/>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refreshError="1"/>
      <sheetData sheetId="20353" refreshError="1"/>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refreshError="1"/>
      <sheetData sheetId="20444"/>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sheetData sheetId="20488"/>
      <sheetData sheetId="20489"/>
      <sheetData sheetId="20490"/>
      <sheetData sheetId="20491"/>
      <sheetData sheetId="20492"/>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sheetData sheetId="20505"/>
      <sheetData sheetId="20506"/>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ow r="9">
          <cell r="A9" t="str">
            <v>A</v>
          </cell>
        </row>
      </sheetData>
      <sheetData sheetId="20537">
        <row r="9">
          <cell r="A9" t="str">
            <v>A</v>
          </cell>
        </row>
      </sheetData>
      <sheetData sheetId="20538">
        <row r="9">
          <cell r="A9" t="str">
            <v>A</v>
          </cell>
        </row>
      </sheetData>
      <sheetData sheetId="20539">
        <row r="9">
          <cell r="A9" t="str">
            <v>A</v>
          </cell>
        </row>
      </sheetData>
      <sheetData sheetId="20540">
        <row r="9">
          <cell r="A9" t="str">
            <v>A</v>
          </cell>
        </row>
      </sheetData>
      <sheetData sheetId="20541">
        <row r="9">
          <cell r="A9" t="str">
            <v>A</v>
          </cell>
        </row>
      </sheetData>
      <sheetData sheetId="20542">
        <row r="9">
          <cell r="A9" t="str">
            <v>A</v>
          </cell>
        </row>
      </sheetData>
      <sheetData sheetId="20543">
        <row r="9">
          <cell r="A9" t="str">
            <v>A</v>
          </cell>
        </row>
      </sheetData>
      <sheetData sheetId="20544">
        <row r="9">
          <cell r="A9" t="str">
            <v>A</v>
          </cell>
        </row>
      </sheetData>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sheetData sheetId="20550"/>
      <sheetData sheetId="20551"/>
      <sheetData sheetId="20552"/>
      <sheetData sheetId="20553"/>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sheetData sheetId="20568">
        <row r="9">
          <cell r="A9" t="str">
            <v>A</v>
          </cell>
        </row>
      </sheetData>
      <sheetData sheetId="20569"/>
      <sheetData sheetId="20570"/>
      <sheetData sheetId="20571"/>
      <sheetData sheetId="20572"/>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sheetData sheetId="20586">
        <row r="9">
          <cell r="A9" t="str">
            <v>A</v>
          </cell>
        </row>
      </sheetData>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refreshError="1"/>
      <sheetData sheetId="20656" refreshError="1"/>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refreshError="1"/>
      <sheetData sheetId="20751" refreshError="1"/>
      <sheetData sheetId="20752" refreshError="1"/>
      <sheetData sheetId="20753" refreshError="1"/>
      <sheetData sheetId="20754" refreshError="1"/>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refreshError="1"/>
      <sheetData sheetId="20769"/>
      <sheetData sheetId="20770"/>
      <sheetData sheetId="20771"/>
      <sheetData sheetId="20772" refreshError="1"/>
      <sheetData sheetId="20773" refreshError="1"/>
      <sheetData sheetId="20774" refreshError="1"/>
      <sheetData sheetId="20775"/>
      <sheetData sheetId="20776"/>
      <sheetData sheetId="20777" refreshError="1"/>
      <sheetData sheetId="20778" refreshError="1"/>
      <sheetData sheetId="20779" refreshError="1"/>
      <sheetData sheetId="20780" refreshError="1"/>
      <sheetData sheetId="20781" refreshError="1"/>
      <sheetData sheetId="20782" refreshError="1"/>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refreshError="1"/>
      <sheetData sheetId="21065" refreshError="1"/>
      <sheetData sheetId="21066" refreshError="1"/>
      <sheetData sheetId="21067" refreshError="1"/>
      <sheetData sheetId="21068" refreshError="1"/>
      <sheetData sheetId="21069" refreshError="1"/>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refreshError="1"/>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sheetData sheetId="21367"/>
      <sheetData sheetId="21368"/>
      <sheetData sheetId="21369"/>
      <sheetData sheetId="21370"/>
      <sheetData sheetId="21371"/>
      <sheetData sheetId="21372"/>
      <sheetData sheetId="21373"/>
      <sheetData sheetId="21374"/>
      <sheetData sheetId="21375"/>
      <sheetData sheetId="21376"/>
      <sheetData sheetId="21377"/>
      <sheetData sheetId="21378"/>
      <sheetData sheetId="21379"/>
      <sheetData sheetId="21380"/>
      <sheetData sheetId="21381"/>
      <sheetData sheetId="21382"/>
      <sheetData sheetId="21383"/>
      <sheetData sheetId="21384"/>
      <sheetData sheetId="21385"/>
      <sheetData sheetId="21386"/>
      <sheetData sheetId="21387"/>
      <sheetData sheetId="21388"/>
      <sheetData sheetId="21389"/>
      <sheetData sheetId="21390"/>
      <sheetData sheetId="21391"/>
      <sheetData sheetId="21392"/>
      <sheetData sheetId="21393"/>
      <sheetData sheetId="21394"/>
      <sheetData sheetId="21395"/>
      <sheetData sheetId="21396"/>
      <sheetData sheetId="21397"/>
      <sheetData sheetId="21398"/>
      <sheetData sheetId="21399"/>
      <sheetData sheetId="21400"/>
      <sheetData sheetId="21401"/>
      <sheetData sheetId="21402"/>
      <sheetData sheetId="21403"/>
      <sheetData sheetId="21404"/>
      <sheetData sheetId="21405"/>
      <sheetData sheetId="21406"/>
      <sheetData sheetId="21407"/>
      <sheetData sheetId="21408"/>
      <sheetData sheetId="21409"/>
      <sheetData sheetId="21410"/>
      <sheetData sheetId="21411"/>
      <sheetData sheetId="21412"/>
      <sheetData sheetId="21413"/>
      <sheetData sheetId="21414"/>
      <sheetData sheetId="21415"/>
      <sheetData sheetId="21416"/>
      <sheetData sheetId="21417"/>
      <sheetData sheetId="21418"/>
      <sheetData sheetId="21419"/>
      <sheetData sheetId="21420"/>
      <sheetData sheetId="21421"/>
      <sheetData sheetId="21422"/>
      <sheetData sheetId="21423"/>
      <sheetData sheetId="21424"/>
      <sheetData sheetId="21425"/>
      <sheetData sheetId="21426"/>
      <sheetData sheetId="21427"/>
      <sheetData sheetId="21428"/>
      <sheetData sheetId="21429"/>
      <sheetData sheetId="21430"/>
      <sheetData sheetId="21431"/>
      <sheetData sheetId="21432"/>
      <sheetData sheetId="21433"/>
      <sheetData sheetId="21434"/>
      <sheetData sheetId="21435"/>
      <sheetData sheetId="21436"/>
      <sheetData sheetId="21437"/>
      <sheetData sheetId="21438"/>
      <sheetData sheetId="21439"/>
      <sheetData sheetId="21440"/>
      <sheetData sheetId="21441"/>
      <sheetData sheetId="21442"/>
      <sheetData sheetId="21443"/>
      <sheetData sheetId="21444"/>
      <sheetData sheetId="21445"/>
      <sheetData sheetId="21446"/>
      <sheetData sheetId="21447"/>
      <sheetData sheetId="21448"/>
      <sheetData sheetId="21449"/>
      <sheetData sheetId="21450"/>
      <sheetData sheetId="21451"/>
      <sheetData sheetId="21452"/>
      <sheetData sheetId="21453"/>
      <sheetData sheetId="21454"/>
      <sheetData sheetId="21455"/>
      <sheetData sheetId="21456"/>
      <sheetData sheetId="21457"/>
      <sheetData sheetId="21458"/>
      <sheetData sheetId="21459"/>
      <sheetData sheetId="21460"/>
      <sheetData sheetId="21461"/>
      <sheetData sheetId="21462"/>
      <sheetData sheetId="21463"/>
      <sheetData sheetId="21464"/>
      <sheetData sheetId="21465"/>
      <sheetData sheetId="21466"/>
      <sheetData sheetId="21467"/>
      <sheetData sheetId="21468"/>
      <sheetData sheetId="21469"/>
      <sheetData sheetId="21470"/>
      <sheetData sheetId="21471"/>
      <sheetData sheetId="21472"/>
      <sheetData sheetId="21473"/>
      <sheetData sheetId="21474"/>
      <sheetData sheetId="21475"/>
      <sheetData sheetId="21476"/>
      <sheetData sheetId="21477"/>
      <sheetData sheetId="21478"/>
      <sheetData sheetId="21479"/>
      <sheetData sheetId="21480"/>
      <sheetData sheetId="21481"/>
      <sheetData sheetId="21482"/>
      <sheetData sheetId="21483"/>
      <sheetData sheetId="21484"/>
      <sheetData sheetId="21485"/>
      <sheetData sheetId="21486"/>
      <sheetData sheetId="21487"/>
      <sheetData sheetId="21488"/>
      <sheetData sheetId="21489"/>
      <sheetData sheetId="21490"/>
      <sheetData sheetId="21491"/>
      <sheetData sheetId="21492"/>
      <sheetData sheetId="21493"/>
      <sheetData sheetId="21494"/>
      <sheetData sheetId="21495"/>
      <sheetData sheetId="21496"/>
      <sheetData sheetId="21497"/>
      <sheetData sheetId="21498"/>
      <sheetData sheetId="21499"/>
      <sheetData sheetId="21500"/>
      <sheetData sheetId="21501"/>
      <sheetData sheetId="21502"/>
      <sheetData sheetId="21503"/>
      <sheetData sheetId="21504"/>
      <sheetData sheetId="21505"/>
      <sheetData sheetId="21506"/>
      <sheetData sheetId="21507"/>
      <sheetData sheetId="21508"/>
      <sheetData sheetId="21509"/>
      <sheetData sheetId="21510"/>
      <sheetData sheetId="21511"/>
      <sheetData sheetId="21512"/>
      <sheetData sheetId="21513"/>
      <sheetData sheetId="21514"/>
      <sheetData sheetId="21515"/>
      <sheetData sheetId="21516"/>
      <sheetData sheetId="21517"/>
      <sheetData sheetId="21518"/>
      <sheetData sheetId="21519"/>
      <sheetData sheetId="21520"/>
      <sheetData sheetId="21521"/>
      <sheetData sheetId="21522"/>
      <sheetData sheetId="21523"/>
      <sheetData sheetId="21524"/>
      <sheetData sheetId="21525"/>
      <sheetData sheetId="21526"/>
      <sheetData sheetId="21527"/>
      <sheetData sheetId="21528"/>
      <sheetData sheetId="21529"/>
      <sheetData sheetId="21530"/>
      <sheetData sheetId="21531"/>
      <sheetData sheetId="21532"/>
      <sheetData sheetId="21533"/>
      <sheetData sheetId="21534"/>
      <sheetData sheetId="21535"/>
      <sheetData sheetId="21536"/>
      <sheetData sheetId="21537"/>
      <sheetData sheetId="21538"/>
      <sheetData sheetId="21539"/>
      <sheetData sheetId="21540"/>
      <sheetData sheetId="21541"/>
      <sheetData sheetId="21542"/>
      <sheetData sheetId="21543"/>
      <sheetData sheetId="21544"/>
      <sheetData sheetId="21545"/>
      <sheetData sheetId="21546"/>
      <sheetData sheetId="21547"/>
      <sheetData sheetId="21548"/>
      <sheetData sheetId="21549"/>
      <sheetData sheetId="21550"/>
      <sheetData sheetId="21551"/>
      <sheetData sheetId="21552"/>
      <sheetData sheetId="21553"/>
      <sheetData sheetId="21554"/>
      <sheetData sheetId="21555"/>
      <sheetData sheetId="21556"/>
      <sheetData sheetId="21557"/>
      <sheetData sheetId="21558"/>
      <sheetData sheetId="21559"/>
      <sheetData sheetId="21560"/>
      <sheetData sheetId="21561"/>
      <sheetData sheetId="21562"/>
      <sheetData sheetId="21563"/>
      <sheetData sheetId="21564"/>
      <sheetData sheetId="21565"/>
      <sheetData sheetId="21566"/>
      <sheetData sheetId="21567"/>
      <sheetData sheetId="21568"/>
      <sheetData sheetId="21569"/>
      <sheetData sheetId="21570"/>
      <sheetData sheetId="21571"/>
      <sheetData sheetId="21572"/>
      <sheetData sheetId="21573"/>
      <sheetData sheetId="21574"/>
      <sheetData sheetId="21575"/>
      <sheetData sheetId="21576"/>
      <sheetData sheetId="21577"/>
      <sheetData sheetId="21578"/>
      <sheetData sheetId="21579"/>
      <sheetData sheetId="21580"/>
      <sheetData sheetId="21581"/>
      <sheetData sheetId="21582"/>
      <sheetData sheetId="21583"/>
      <sheetData sheetId="21584"/>
      <sheetData sheetId="21585"/>
      <sheetData sheetId="21586"/>
      <sheetData sheetId="21587"/>
      <sheetData sheetId="21588"/>
      <sheetData sheetId="21589"/>
      <sheetData sheetId="21590"/>
      <sheetData sheetId="21591"/>
      <sheetData sheetId="21592"/>
      <sheetData sheetId="21593"/>
      <sheetData sheetId="21594"/>
      <sheetData sheetId="21595"/>
      <sheetData sheetId="21596"/>
      <sheetData sheetId="21597"/>
      <sheetData sheetId="21598"/>
      <sheetData sheetId="21599"/>
      <sheetData sheetId="21600"/>
      <sheetData sheetId="21601"/>
      <sheetData sheetId="21602"/>
      <sheetData sheetId="21603"/>
      <sheetData sheetId="21604"/>
      <sheetData sheetId="21605"/>
      <sheetData sheetId="21606"/>
      <sheetData sheetId="21607"/>
      <sheetData sheetId="21608"/>
      <sheetData sheetId="21609"/>
      <sheetData sheetId="21610"/>
      <sheetData sheetId="21611"/>
      <sheetData sheetId="21612"/>
      <sheetData sheetId="21613"/>
      <sheetData sheetId="21614"/>
      <sheetData sheetId="21615"/>
      <sheetData sheetId="21616"/>
      <sheetData sheetId="21617"/>
      <sheetData sheetId="21618"/>
      <sheetData sheetId="21619"/>
      <sheetData sheetId="21620"/>
      <sheetData sheetId="21621"/>
      <sheetData sheetId="21622"/>
      <sheetData sheetId="21623"/>
      <sheetData sheetId="21624"/>
      <sheetData sheetId="21625"/>
      <sheetData sheetId="21626"/>
      <sheetData sheetId="21627"/>
      <sheetData sheetId="21628"/>
      <sheetData sheetId="21629"/>
      <sheetData sheetId="21630"/>
      <sheetData sheetId="21631"/>
      <sheetData sheetId="21632"/>
      <sheetData sheetId="21633"/>
      <sheetData sheetId="21634"/>
      <sheetData sheetId="21635"/>
      <sheetData sheetId="21636"/>
      <sheetData sheetId="21637"/>
      <sheetData sheetId="21638"/>
      <sheetData sheetId="21639"/>
      <sheetData sheetId="21640"/>
      <sheetData sheetId="21641"/>
      <sheetData sheetId="21642"/>
      <sheetData sheetId="21643"/>
      <sheetData sheetId="21644"/>
      <sheetData sheetId="21645"/>
      <sheetData sheetId="21646"/>
      <sheetData sheetId="21647"/>
      <sheetData sheetId="21648"/>
      <sheetData sheetId="21649"/>
      <sheetData sheetId="21650"/>
      <sheetData sheetId="21651"/>
      <sheetData sheetId="21652"/>
      <sheetData sheetId="21653"/>
      <sheetData sheetId="21654"/>
      <sheetData sheetId="21655"/>
      <sheetData sheetId="21656"/>
      <sheetData sheetId="21657"/>
      <sheetData sheetId="21658"/>
      <sheetData sheetId="21659"/>
      <sheetData sheetId="21660"/>
      <sheetData sheetId="21661"/>
      <sheetData sheetId="21662"/>
      <sheetData sheetId="21663"/>
      <sheetData sheetId="21664"/>
      <sheetData sheetId="21665"/>
      <sheetData sheetId="21666"/>
      <sheetData sheetId="21667"/>
      <sheetData sheetId="21668"/>
      <sheetData sheetId="21669"/>
      <sheetData sheetId="21670"/>
      <sheetData sheetId="21671"/>
      <sheetData sheetId="21672"/>
      <sheetData sheetId="21673"/>
      <sheetData sheetId="21674"/>
      <sheetData sheetId="21675"/>
      <sheetData sheetId="21676"/>
      <sheetData sheetId="21677"/>
      <sheetData sheetId="21678"/>
      <sheetData sheetId="21679"/>
      <sheetData sheetId="21680"/>
      <sheetData sheetId="21681"/>
      <sheetData sheetId="21682"/>
      <sheetData sheetId="21683"/>
      <sheetData sheetId="21684"/>
      <sheetData sheetId="21685"/>
      <sheetData sheetId="21686"/>
      <sheetData sheetId="21687"/>
      <sheetData sheetId="21688"/>
      <sheetData sheetId="21689"/>
      <sheetData sheetId="21690"/>
      <sheetData sheetId="21691"/>
      <sheetData sheetId="21692"/>
      <sheetData sheetId="21693"/>
      <sheetData sheetId="21694"/>
      <sheetData sheetId="21695"/>
      <sheetData sheetId="21696"/>
      <sheetData sheetId="21697"/>
      <sheetData sheetId="21698"/>
      <sheetData sheetId="21699"/>
      <sheetData sheetId="21700"/>
      <sheetData sheetId="21701"/>
      <sheetData sheetId="21702"/>
      <sheetData sheetId="21703"/>
      <sheetData sheetId="21704"/>
      <sheetData sheetId="21705"/>
      <sheetData sheetId="21706"/>
      <sheetData sheetId="21707"/>
      <sheetData sheetId="21708"/>
      <sheetData sheetId="21709"/>
      <sheetData sheetId="21710"/>
      <sheetData sheetId="21711"/>
      <sheetData sheetId="21712"/>
      <sheetData sheetId="21713"/>
      <sheetData sheetId="21714"/>
      <sheetData sheetId="21715"/>
      <sheetData sheetId="21716"/>
      <sheetData sheetId="21717"/>
      <sheetData sheetId="21718"/>
      <sheetData sheetId="21719"/>
      <sheetData sheetId="21720"/>
      <sheetData sheetId="21721"/>
      <sheetData sheetId="21722"/>
      <sheetData sheetId="21723"/>
      <sheetData sheetId="21724"/>
      <sheetData sheetId="21725"/>
      <sheetData sheetId="21726"/>
      <sheetData sheetId="21727"/>
      <sheetData sheetId="21728"/>
      <sheetData sheetId="21729"/>
      <sheetData sheetId="21730"/>
      <sheetData sheetId="21731"/>
      <sheetData sheetId="21732"/>
      <sheetData sheetId="21733"/>
      <sheetData sheetId="21734"/>
      <sheetData sheetId="21735"/>
      <sheetData sheetId="21736"/>
      <sheetData sheetId="21737"/>
      <sheetData sheetId="21738"/>
      <sheetData sheetId="21739"/>
      <sheetData sheetId="21740"/>
      <sheetData sheetId="21741"/>
      <sheetData sheetId="21742"/>
      <sheetData sheetId="21743"/>
      <sheetData sheetId="21744"/>
      <sheetData sheetId="21745"/>
      <sheetData sheetId="21746"/>
      <sheetData sheetId="21747"/>
      <sheetData sheetId="21748"/>
      <sheetData sheetId="21749"/>
      <sheetData sheetId="21750"/>
      <sheetData sheetId="21751"/>
      <sheetData sheetId="21752"/>
      <sheetData sheetId="21753"/>
      <sheetData sheetId="21754"/>
      <sheetData sheetId="21755"/>
      <sheetData sheetId="21756"/>
      <sheetData sheetId="21757"/>
      <sheetData sheetId="21758"/>
      <sheetData sheetId="21759"/>
      <sheetData sheetId="21760"/>
      <sheetData sheetId="21761"/>
      <sheetData sheetId="21762"/>
      <sheetData sheetId="21763"/>
      <sheetData sheetId="21764"/>
      <sheetData sheetId="21765"/>
      <sheetData sheetId="21766"/>
      <sheetData sheetId="21767"/>
      <sheetData sheetId="21768"/>
      <sheetData sheetId="21769"/>
      <sheetData sheetId="21770"/>
      <sheetData sheetId="21771"/>
      <sheetData sheetId="21772"/>
      <sheetData sheetId="21773"/>
      <sheetData sheetId="21774"/>
      <sheetData sheetId="21775"/>
      <sheetData sheetId="21776"/>
      <sheetData sheetId="21777"/>
      <sheetData sheetId="21778"/>
      <sheetData sheetId="21779"/>
      <sheetData sheetId="21780"/>
      <sheetData sheetId="21781"/>
      <sheetData sheetId="21782"/>
      <sheetData sheetId="21783"/>
      <sheetData sheetId="21784"/>
      <sheetData sheetId="21785"/>
      <sheetData sheetId="21786"/>
      <sheetData sheetId="21787"/>
      <sheetData sheetId="21788"/>
      <sheetData sheetId="21789"/>
      <sheetData sheetId="21790"/>
      <sheetData sheetId="21791"/>
      <sheetData sheetId="21792"/>
      <sheetData sheetId="21793"/>
      <sheetData sheetId="21794"/>
      <sheetData sheetId="21795"/>
      <sheetData sheetId="21796"/>
      <sheetData sheetId="21797"/>
      <sheetData sheetId="21798"/>
      <sheetData sheetId="21799"/>
      <sheetData sheetId="21800"/>
      <sheetData sheetId="21801"/>
      <sheetData sheetId="21802"/>
      <sheetData sheetId="21803"/>
      <sheetData sheetId="21804"/>
      <sheetData sheetId="21805"/>
      <sheetData sheetId="21806"/>
      <sheetData sheetId="21807"/>
      <sheetData sheetId="21808"/>
      <sheetData sheetId="21809"/>
      <sheetData sheetId="21810"/>
      <sheetData sheetId="21811"/>
      <sheetData sheetId="21812"/>
      <sheetData sheetId="21813"/>
      <sheetData sheetId="21814"/>
      <sheetData sheetId="21815"/>
      <sheetData sheetId="21816"/>
      <sheetData sheetId="21817"/>
      <sheetData sheetId="21818"/>
      <sheetData sheetId="21819"/>
      <sheetData sheetId="21820"/>
      <sheetData sheetId="21821"/>
      <sheetData sheetId="21822"/>
      <sheetData sheetId="21823"/>
      <sheetData sheetId="21824"/>
      <sheetData sheetId="21825"/>
      <sheetData sheetId="21826"/>
      <sheetData sheetId="21827"/>
      <sheetData sheetId="21828"/>
      <sheetData sheetId="21829"/>
      <sheetData sheetId="21830"/>
      <sheetData sheetId="21831"/>
      <sheetData sheetId="21832"/>
      <sheetData sheetId="21833"/>
      <sheetData sheetId="21834"/>
      <sheetData sheetId="21835"/>
      <sheetData sheetId="21836"/>
      <sheetData sheetId="21837"/>
      <sheetData sheetId="21838"/>
      <sheetData sheetId="21839"/>
      <sheetData sheetId="21840"/>
      <sheetData sheetId="21841"/>
      <sheetData sheetId="21842"/>
      <sheetData sheetId="21843"/>
      <sheetData sheetId="21844"/>
      <sheetData sheetId="21845"/>
      <sheetData sheetId="21846"/>
      <sheetData sheetId="21847"/>
      <sheetData sheetId="21848"/>
      <sheetData sheetId="21849"/>
      <sheetData sheetId="21850"/>
      <sheetData sheetId="21851"/>
      <sheetData sheetId="21852"/>
      <sheetData sheetId="21853"/>
      <sheetData sheetId="21854"/>
      <sheetData sheetId="21855"/>
      <sheetData sheetId="21856"/>
      <sheetData sheetId="21857"/>
      <sheetData sheetId="21858"/>
      <sheetData sheetId="21859"/>
      <sheetData sheetId="21860"/>
      <sheetData sheetId="21861"/>
      <sheetData sheetId="21862"/>
      <sheetData sheetId="21863"/>
      <sheetData sheetId="21864"/>
      <sheetData sheetId="21865"/>
      <sheetData sheetId="21866"/>
      <sheetData sheetId="21867"/>
      <sheetData sheetId="21868"/>
      <sheetData sheetId="21869"/>
      <sheetData sheetId="21870"/>
      <sheetData sheetId="21871"/>
      <sheetData sheetId="21872"/>
      <sheetData sheetId="21873"/>
      <sheetData sheetId="21874"/>
      <sheetData sheetId="21875"/>
      <sheetData sheetId="21876"/>
      <sheetData sheetId="21877"/>
      <sheetData sheetId="21878"/>
      <sheetData sheetId="21879"/>
      <sheetData sheetId="21880"/>
      <sheetData sheetId="21881" refreshError="1"/>
      <sheetData sheetId="21882" refreshError="1"/>
      <sheetData sheetId="21883" refreshError="1"/>
      <sheetData sheetId="21884" refreshError="1"/>
      <sheetData sheetId="21885"/>
      <sheetData sheetId="21886"/>
      <sheetData sheetId="21887"/>
      <sheetData sheetId="21888"/>
      <sheetData sheetId="21889"/>
      <sheetData sheetId="21890"/>
      <sheetData sheetId="21891"/>
      <sheetData sheetId="21892"/>
      <sheetData sheetId="21893"/>
      <sheetData sheetId="21894"/>
      <sheetData sheetId="21895"/>
      <sheetData sheetId="21896"/>
      <sheetData sheetId="21897"/>
      <sheetData sheetId="21898"/>
      <sheetData sheetId="21899"/>
      <sheetData sheetId="21900"/>
      <sheetData sheetId="21901"/>
      <sheetData sheetId="21902"/>
      <sheetData sheetId="21903"/>
      <sheetData sheetId="21904"/>
      <sheetData sheetId="21905"/>
      <sheetData sheetId="21906"/>
      <sheetData sheetId="21907"/>
      <sheetData sheetId="21908"/>
      <sheetData sheetId="21909"/>
      <sheetData sheetId="21910"/>
      <sheetData sheetId="21911"/>
      <sheetData sheetId="21912"/>
      <sheetData sheetId="21913"/>
      <sheetData sheetId="21914"/>
      <sheetData sheetId="21915"/>
      <sheetData sheetId="21916"/>
      <sheetData sheetId="21917"/>
      <sheetData sheetId="21918"/>
      <sheetData sheetId="21919"/>
      <sheetData sheetId="21920"/>
      <sheetData sheetId="21921"/>
      <sheetData sheetId="21922"/>
      <sheetData sheetId="21923"/>
      <sheetData sheetId="21924"/>
      <sheetData sheetId="21925"/>
      <sheetData sheetId="21926"/>
      <sheetData sheetId="21927"/>
      <sheetData sheetId="21928"/>
      <sheetData sheetId="21929"/>
      <sheetData sheetId="21930"/>
      <sheetData sheetId="21931"/>
      <sheetData sheetId="21932"/>
      <sheetData sheetId="21933"/>
      <sheetData sheetId="21934"/>
      <sheetData sheetId="21935"/>
      <sheetData sheetId="21936"/>
      <sheetData sheetId="21937"/>
      <sheetData sheetId="21938"/>
      <sheetData sheetId="21939"/>
      <sheetData sheetId="21940"/>
      <sheetData sheetId="21941"/>
      <sheetData sheetId="21942"/>
      <sheetData sheetId="21943"/>
      <sheetData sheetId="21944"/>
      <sheetData sheetId="21945"/>
      <sheetData sheetId="21946"/>
      <sheetData sheetId="21947"/>
      <sheetData sheetId="21948"/>
      <sheetData sheetId="21949"/>
      <sheetData sheetId="21950"/>
      <sheetData sheetId="21951"/>
      <sheetData sheetId="21952"/>
      <sheetData sheetId="21953"/>
      <sheetData sheetId="21954"/>
      <sheetData sheetId="21955"/>
      <sheetData sheetId="21956"/>
      <sheetData sheetId="21957"/>
      <sheetData sheetId="21958"/>
      <sheetData sheetId="21959"/>
      <sheetData sheetId="21960"/>
      <sheetData sheetId="21961"/>
      <sheetData sheetId="21962"/>
      <sheetData sheetId="21963"/>
      <sheetData sheetId="21964"/>
      <sheetData sheetId="21965"/>
      <sheetData sheetId="21966"/>
      <sheetData sheetId="21967"/>
      <sheetData sheetId="21968"/>
      <sheetData sheetId="21969"/>
      <sheetData sheetId="21970"/>
      <sheetData sheetId="21971"/>
      <sheetData sheetId="21972"/>
      <sheetData sheetId="21973"/>
      <sheetData sheetId="21974"/>
      <sheetData sheetId="21975"/>
      <sheetData sheetId="21976"/>
      <sheetData sheetId="21977"/>
      <sheetData sheetId="21978"/>
      <sheetData sheetId="21979"/>
      <sheetData sheetId="21980"/>
      <sheetData sheetId="21981"/>
      <sheetData sheetId="21982"/>
      <sheetData sheetId="21983"/>
      <sheetData sheetId="21984"/>
      <sheetData sheetId="21985"/>
      <sheetData sheetId="21986"/>
      <sheetData sheetId="21987"/>
      <sheetData sheetId="21988"/>
      <sheetData sheetId="21989"/>
      <sheetData sheetId="21990"/>
      <sheetData sheetId="21991"/>
      <sheetData sheetId="21992"/>
      <sheetData sheetId="21993"/>
      <sheetData sheetId="21994"/>
      <sheetData sheetId="21995"/>
      <sheetData sheetId="21996"/>
      <sheetData sheetId="21997"/>
      <sheetData sheetId="21998"/>
      <sheetData sheetId="21999"/>
      <sheetData sheetId="22000"/>
      <sheetData sheetId="22001"/>
      <sheetData sheetId="22002"/>
      <sheetData sheetId="22003"/>
      <sheetData sheetId="22004"/>
      <sheetData sheetId="22005"/>
      <sheetData sheetId="22006"/>
      <sheetData sheetId="22007"/>
      <sheetData sheetId="22008"/>
      <sheetData sheetId="22009"/>
      <sheetData sheetId="22010"/>
      <sheetData sheetId="22011"/>
      <sheetData sheetId="22012"/>
      <sheetData sheetId="22013"/>
      <sheetData sheetId="22014"/>
      <sheetData sheetId="22015"/>
      <sheetData sheetId="22016"/>
      <sheetData sheetId="22017"/>
      <sheetData sheetId="22018"/>
      <sheetData sheetId="22019"/>
      <sheetData sheetId="22020"/>
      <sheetData sheetId="22021"/>
      <sheetData sheetId="22022"/>
      <sheetData sheetId="22023"/>
      <sheetData sheetId="22024"/>
      <sheetData sheetId="22025"/>
      <sheetData sheetId="22026"/>
      <sheetData sheetId="22027"/>
      <sheetData sheetId="22028"/>
      <sheetData sheetId="22029"/>
      <sheetData sheetId="22030"/>
      <sheetData sheetId="22031"/>
      <sheetData sheetId="22032"/>
      <sheetData sheetId="22033"/>
      <sheetData sheetId="22034"/>
      <sheetData sheetId="22035"/>
      <sheetData sheetId="22036"/>
      <sheetData sheetId="22037"/>
      <sheetData sheetId="22038"/>
      <sheetData sheetId="22039"/>
      <sheetData sheetId="22040"/>
      <sheetData sheetId="22041"/>
      <sheetData sheetId="22042"/>
      <sheetData sheetId="22043"/>
      <sheetData sheetId="22044"/>
      <sheetData sheetId="22045"/>
      <sheetData sheetId="22046"/>
      <sheetData sheetId="22047"/>
      <sheetData sheetId="22048"/>
      <sheetData sheetId="22049"/>
      <sheetData sheetId="22050"/>
      <sheetData sheetId="22051"/>
      <sheetData sheetId="22052"/>
      <sheetData sheetId="22053"/>
      <sheetData sheetId="22054"/>
      <sheetData sheetId="22055"/>
      <sheetData sheetId="22056"/>
      <sheetData sheetId="22057"/>
      <sheetData sheetId="22058"/>
      <sheetData sheetId="22059"/>
      <sheetData sheetId="22060"/>
      <sheetData sheetId="22061"/>
      <sheetData sheetId="22062"/>
      <sheetData sheetId="22063"/>
      <sheetData sheetId="22064"/>
      <sheetData sheetId="22065"/>
      <sheetData sheetId="22066"/>
      <sheetData sheetId="22067"/>
      <sheetData sheetId="22068"/>
      <sheetData sheetId="22069"/>
      <sheetData sheetId="22070"/>
      <sheetData sheetId="22071"/>
      <sheetData sheetId="22072"/>
      <sheetData sheetId="22073"/>
      <sheetData sheetId="22074"/>
      <sheetData sheetId="22075"/>
      <sheetData sheetId="22076"/>
      <sheetData sheetId="22077"/>
      <sheetData sheetId="22078"/>
      <sheetData sheetId="22079"/>
      <sheetData sheetId="22080"/>
      <sheetData sheetId="22081"/>
      <sheetData sheetId="22082"/>
      <sheetData sheetId="22083"/>
      <sheetData sheetId="22084"/>
      <sheetData sheetId="22085"/>
      <sheetData sheetId="22086"/>
      <sheetData sheetId="22087"/>
      <sheetData sheetId="22088"/>
      <sheetData sheetId="22089"/>
      <sheetData sheetId="22090"/>
      <sheetData sheetId="22091"/>
      <sheetData sheetId="22092"/>
      <sheetData sheetId="22093"/>
      <sheetData sheetId="22094"/>
      <sheetData sheetId="22095"/>
      <sheetData sheetId="22096"/>
      <sheetData sheetId="22097"/>
      <sheetData sheetId="22098"/>
      <sheetData sheetId="22099"/>
      <sheetData sheetId="22100"/>
      <sheetData sheetId="22101"/>
      <sheetData sheetId="22102"/>
      <sheetData sheetId="22103"/>
      <sheetData sheetId="22104"/>
      <sheetData sheetId="22105"/>
      <sheetData sheetId="22106"/>
      <sheetData sheetId="22107"/>
      <sheetData sheetId="22108"/>
      <sheetData sheetId="22109"/>
      <sheetData sheetId="22110"/>
      <sheetData sheetId="22111"/>
      <sheetData sheetId="22112"/>
      <sheetData sheetId="22113"/>
      <sheetData sheetId="22114"/>
      <sheetData sheetId="22115"/>
      <sheetData sheetId="22116"/>
      <sheetData sheetId="22117"/>
      <sheetData sheetId="22118"/>
      <sheetData sheetId="22119"/>
      <sheetData sheetId="22120"/>
      <sheetData sheetId="22121"/>
      <sheetData sheetId="22122"/>
      <sheetData sheetId="22123"/>
      <sheetData sheetId="22124"/>
      <sheetData sheetId="22125"/>
      <sheetData sheetId="22126"/>
      <sheetData sheetId="22127"/>
      <sheetData sheetId="22128"/>
      <sheetData sheetId="22129"/>
      <sheetData sheetId="22130"/>
      <sheetData sheetId="22131"/>
      <sheetData sheetId="22132"/>
      <sheetData sheetId="22133"/>
      <sheetData sheetId="22134"/>
      <sheetData sheetId="22135"/>
      <sheetData sheetId="22136"/>
      <sheetData sheetId="22137"/>
      <sheetData sheetId="22138"/>
      <sheetData sheetId="22139"/>
      <sheetData sheetId="22140"/>
      <sheetData sheetId="22141"/>
      <sheetData sheetId="22142"/>
      <sheetData sheetId="22143"/>
      <sheetData sheetId="22144"/>
      <sheetData sheetId="22145"/>
      <sheetData sheetId="22146"/>
      <sheetData sheetId="22147"/>
      <sheetData sheetId="22148"/>
      <sheetData sheetId="22149"/>
      <sheetData sheetId="22150"/>
      <sheetData sheetId="22151"/>
      <sheetData sheetId="22152"/>
      <sheetData sheetId="22153"/>
      <sheetData sheetId="22154"/>
      <sheetData sheetId="22155"/>
      <sheetData sheetId="22156"/>
      <sheetData sheetId="22157"/>
      <sheetData sheetId="22158"/>
      <sheetData sheetId="22159"/>
      <sheetData sheetId="22160"/>
      <sheetData sheetId="22161"/>
      <sheetData sheetId="22162"/>
      <sheetData sheetId="22163"/>
      <sheetData sheetId="22164"/>
      <sheetData sheetId="22165"/>
      <sheetData sheetId="22166"/>
      <sheetData sheetId="22167"/>
      <sheetData sheetId="22168"/>
      <sheetData sheetId="22169"/>
      <sheetData sheetId="22170"/>
      <sheetData sheetId="22171"/>
      <sheetData sheetId="22172"/>
      <sheetData sheetId="22173"/>
      <sheetData sheetId="22174"/>
      <sheetData sheetId="22175"/>
      <sheetData sheetId="22176"/>
      <sheetData sheetId="22177"/>
      <sheetData sheetId="22178"/>
      <sheetData sheetId="22179"/>
      <sheetData sheetId="22180"/>
      <sheetData sheetId="22181"/>
      <sheetData sheetId="22182"/>
      <sheetData sheetId="22183"/>
      <sheetData sheetId="22184"/>
      <sheetData sheetId="22185"/>
      <sheetData sheetId="22186"/>
      <sheetData sheetId="22187"/>
      <sheetData sheetId="22188"/>
      <sheetData sheetId="22189"/>
      <sheetData sheetId="22190"/>
      <sheetData sheetId="22191"/>
      <sheetData sheetId="22192"/>
      <sheetData sheetId="22193"/>
      <sheetData sheetId="22194"/>
      <sheetData sheetId="22195"/>
      <sheetData sheetId="22196"/>
      <sheetData sheetId="22197"/>
      <sheetData sheetId="22198"/>
      <sheetData sheetId="22199"/>
      <sheetData sheetId="22200"/>
      <sheetData sheetId="22201"/>
      <sheetData sheetId="22202"/>
      <sheetData sheetId="22203"/>
      <sheetData sheetId="22204"/>
      <sheetData sheetId="22205"/>
      <sheetData sheetId="22206"/>
      <sheetData sheetId="22207"/>
      <sheetData sheetId="22208"/>
      <sheetData sheetId="22209"/>
      <sheetData sheetId="22210"/>
      <sheetData sheetId="22211"/>
      <sheetData sheetId="22212"/>
      <sheetData sheetId="22213"/>
      <sheetData sheetId="22214"/>
      <sheetData sheetId="22215"/>
      <sheetData sheetId="22216"/>
      <sheetData sheetId="22217"/>
      <sheetData sheetId="22218"/>
      <sheetData sheetId="22219"/>
      <sheetData sheetId="22220"/>
      <sheetData sheetId="22221"/>
      <sheetData sheetId="22222"/>
      <sheetData sheetId="22223"/>
      <sheetData sheetId="22224"/>
      <sheetData sheetId="22225"/>
      <sheetData sheetId="22226"/>
      <sheetData sheetId="22227"/>
      <sheetData sheetId="22228"/>
      <sheetData sheetId="22229"/>
      <sheetData sheetId="22230"/>
      <sheetData sheetId="22231"/>
      <sheetData sheetId="22232"/>
      <sheetData sheetId="22233"/>
      <sheetData sheetId="22234"/>
      <sheetData sheetId="22235"/>
      <sheetData sheetId="22236"/>
      <sheetData sheetId="22237"/>
      <sheetData sheetId="22238"/>
      <sheetData sheetId="22239"/>
      <sheetData sheetId="22240"/>
      <sheetData sheetId="22241"/>
      <sheetData sheetId="22242"/>
      <sheetData sheetId="22243"/>
      <sheetData sheetId="22244"/>
      <sheetData sheetId="22245"/>
      <sheetData sheetId="22246"/>
      <sheetData sheetId="22247"/>
      <sheetData sheetId="22248"/>
      <sheetData sheetId="22249"/>
      <sheetData sheetId="22250"/>
      <sheetData sheetId="22251"/>
      <sheetData sheetId="22252"/>
      <sheetData sheetId="22253"/>
      <sheetData sheetId="22254"/>
      <sheetData sheetId="22255"/>
      <sheetData sheetId="22256"/>
      <sheetData sheetId="22257"/>
      <sheetData sheetId="22258"/>
      <sheetData sheetId="22259"/>
      <sheetData sheetId="22260"/>
      <sheetData sheetId="22261"/>
      <sheetData sheetId="22262"/>
      <sheetData sheetId="22263"/>
      <sheetData sheetId="22264"/>
      <sheetData sheetId="22265"/>
      <sheetData sheetId="22266"/>
      <sheetData sheetId="22267"/>
      <sheetData sheetId="22268"/>
      <sheetData sheetId="22269"/>
      <sheetData sheetId="22270"/>
      <sheetData sheetId="22271"/>
      <sheetData sheetId="22272"/>
      <sheetData sheetId="22273"/>
      <sheetData sheetId="22274"/>
      <sheetData sheetId="22275"/>
      <sheetData sheetId="22276"/>
      <sheetData sheetId="22277"/>
      <sheetData sheetId="22278"/>
      <sheetData sheetId="22279"/>
      <sheetData sheetId="22280"/>
      <sheetData sheetId="22281"/>
      <sheetData sheetId="22282"/>
      <sheetData sheetId="22283"/>
      <sheetData sheetId="22284"/>
      <sheetData sheetId="22285"/>
      <sheetData sheetId="22286"/>
      <sheetData sheetId="22287"/>
      <sheetData sheetId="22288"/>
      <sheetData sheetId="22289"/>
      <sheetData sheetId="22290"/>
      <sheetData sheetId="22291"/>
      <sheetData sheetId="22292"/>
      <sheetData sheetId="22293"/>
      <sheetData sheetId="22294"/>
      <sheetData sheetId="22295"/>
      <sheetData sheetId="22296"/>
      <sheetData sheetId="22297"/>
      <sheetData sheetId="22298"/>
      <sheetData sheetId="22299"/>
      <sheetData sheetId="22300"/>
      <sheetData sheetId="22301"/>
      <sheetData sheetId="22302"/>
      <sheetData sheetId="22303"/>
      <sheetData sheetId="22304"/>
      <sheetData sheetId="22305"/>
      <sheetData sheetId="22306"/>
      <sheetData sheetId="22307"/>
      <sheetData sheetId="22308"/>
      <sheetData sheetId="22309"/>
      <sheetData sheetId="22310"/>
      <sheetData sheetId="22311"/>
      <sheetData sheetId="22312"/>
      <sheetData sheetId="22313"/>
      <sheetData sheetId="22314"/>
      <sheetData sheetId="22315"/>
      <sheetData sheetId="22316"/>
      <sheetData sheetId="22317"/>
      <sheetData sheetId="22318"/>
      <sheetData sheetId="22319"/>
      <sheetData sheetId="22320"/>
      <sheetData sheetId="22321"/>
      <sheetData sheetId="22322"/>
      <sheetData sheetId="22323"/>
      <sheetData sheetId="22324"/>
      <sheetData sheetId="22325"/>
      <sheetData sheetId="22326"/>
      <sheetData sheetId="22327"/>
      <sheetData sheetId="22328"/>
      <sheetData sheetId="22329"/>
      <sheetData sheetId="22330"/>
      <sheetData sheetId="22331"/>
      <sheetData sheetId="22332"/>
      <sheetData sheetId="22333"/>
      <sheetData sheetId="22334"/>
      <sheetData sheetId="22335"/>
      <sheetData sheetId="22336"/>
      <sheetData sheetId="22337"/>
      <sheetData sheetId="22338"/>
      <sheetData sheetId="22339"/>
      <sheetData sheetId="22340"/>
      <sheetData sheetId="22341"/>
      <sheetData sheetId="22342"/>
      <sheetData sheetId="22343"/>
      <sheetData sheetId="22344"/>
      <sheetData sheetId="22345"/>
      <sheetData sheetId="22346"/>
      <sheetData sheetId="22347"/>
      <sheetData sheetId="22348"/>
      <sheetData sheetId="22349"/>
      <sheetData sheetId="22350"/>
      <sheetData sheetId="22351"/>
      <sheetData sheetId="22352"/>
      <sheetData sheetId="22353"/>
      <sheetData sheetId="22354"/>
      <sheetData sheetId="22355"/>
      <sheetData sheetId="22356"/>
      <sheetData sheetId="22357"/>
      <sheetData sheetId="22358"/>
      <sheetData sheetId="22359"/>
      <sheetData sheetId="22360"/>
      <sheetData sheetId="22361"/>
      <sheetData sheetId="22362"/>
      <sheetData sheetId="22363"/>
      <sheetData sheetId="22364"/>
      <sheetData sheetId="22365"/>
      <sheetData sheetId="22366"/>
      <sheetData sheetId="22367"/>
      <sheetData sheetId="22368"/>
      <sheetData sheetId="22369"/>
      <sheetData sheetId="22370"/>
      <sheetData sheetId="22371"/>
      <sheetData sheetId="22372"/>
      <sheetData sheetId="22373"/>
      <sheetData sheetId="22374"/>
      <sheetData sheetId="22375"/>
      <sheetData sheetId="22376"/>
      <sheetData sheetId="22377"/>
      <sheetData sheetId="22378"/>
      <sheetData sheetId="22379"/>
      <sheetData sheetId="22380"/>
      <sheetData sheetId="22381"/>
      <sheetData sheetId="22382"/>
      <sheetData sheetId="22383"/>
      <sheetData sheetId="22384"/>
      <sheetData sheetId="22385"/>
      <sheetData sheetId="22386"/>
      <sheetData sheetId="22387"/>
      <sheetData sheetId="22388"/>
      <sheetData sheetId="22389"/>
      <sheetData sheetId="22390"/>
      <sheetData sheetId="22391"/>
      <sheetData sheetId="22392"/>
      <sheetData sheetId="22393"/>
      <sheetData sheetId="22394"/>
      <sheetData sheetId="22395"/>
      <sheetData sheetId="22396"/>
      <sheetData sheetId="22397"/>
      <sheetData sheetId="22398"/>
      <sheetData sheetId="22399"/>
      <sheetData sheetId="22400"/>
      <sheetData sheetId="22401"/>
      <sheetData sheetId="22402"/>
      <sheetData sheetId="22403"/>
      <sheetData sheetId="22404"/>
      <sheetData sheetId="22405"/>
      <sheetData sheetId="22406"/>
      <sheetData sheetId="22407"/>
      <sheetData sheetId="22408"/>
      <sheetData sheetId="22409"/>
      <sheetData sheetId="22410"/>
      <sheetData sheetId="22411"/>
      <sheetData sheetId="22412"/>
      <sheetData sheetId="22413"/>
      <sheetData sheetId="22414"/>
      <sheetData sheetId="22415"/>
      <sheetData sheetId="22416"/>
      <sheetData sheetId="22417"/>
      <sheetData sheetId="22418"/>
      <sheetData sheetId="22419"/>
      <sheetData sheetId="22420"/>
      <sheetData sheetId="22421"/>
      <sheetData sheetId="22422"/>
      <sheetData sheetId="22423"/>
      <sheetData sheetId="22424"/>
      <sheetData sheetId="22425"/>
      <sheetData sheetId="22426"/>
      <sheetData sheetId="22427"/>
      <sheetData sheetId="22428"/>
      <sheetData sheetId="22429"/>
      <sheetData sheetId="22430"/>
      <sheetData sheetId="22431"/>
      <sheetData sheetId="22432"/>
      <sheetData sheetId="22433"/>
      <sheetData sheetId="22434"/>
      <sheetData sheetId="22435"/>
      <sheetData sheetId="22436"/>
      <sheetData sheetId="22437"/>
      <sheetData sheetId="22438"/>
      <sheetData sheetId="22439"/>
      <sheetData sheetId="22440"/>
      <sheetData sheetId="22441"/>
      <sheetData sheetId="22442"/>
      <sheetData sheetId="22443"/>
      <sheetData sheetId="22444"/>
      <sheetData sheetId="22445"/>
      <sheetData sheetId="22446"/>
      <sheetData sheetId="22447"/>
      <sheetData sheetId="22448"/>
      <sheetData sheetId="22449"/>
      <sheetData sheetId="22450"/>
      <sheetData sheetId="22451"/>
      <sheetData sheetId="22452"/>
      <sheetData sheetId="22453"/>
      <sheetData sheetId="22454"/>
      <sheetData sheetId="22455"/>
      <sheetData sheetId="22456"/>
      <sheetData sheetId="22457"/>
      <sheetData sheetId="22458"/>
      <sheetData sheetId="22459"/>
      <sheetData sheetId="22460"/>
      <sheetData sheetId="22461"/>
      <sheetData sheetId="22462"/>
      <sheetData sheetId="22463"/>
      <sheetData sheetId="22464"/>
      <sheetData sheetId="22465"/>
      <sheetData sheetId="22466"/>
      <sheetData sheetId="22467"/>
      <sheetData sheetId="22468"/>
      <sheetData sheetId="22469"/>
      <sheetData sheetId="22470"/>
      <sheetData sheetId="22471"/>
      <sheetData sheetId="22472"/>
      <sheetData sheetId="22473"/>
      <sheetData sheetId="22474"/>
      <sheetData sheetId="22475"/>
      <sheetData sheetId="22476"/>
      <sheetData sheetId="22477"/>
      <sheetData sheetId="22478"/>
      <sheetData sheetId="22479"/>
      <sheetData sheetId="22480"/>
      <sheetData sheetId="22481"/>
      <sheetData sheetId="22482"/>
      <sheetData sheetId="22483"/>
      <sheetData sheetId="22484"/>
      <sheetData sheetId="22485"/>
      <sheetData sheetId="22486"/>
      <sheetData sheetId="22487"/>
      <sheetData sheetId="22488"/>
      <sheetData sheetId="22489"/>
      <sheetData sheetId="22490"/>
      <sheetData sheetId="22491"/>
      <sheetData sheetId="22492"/>
      <sheetData sheetId="22493"/>
      <sheetData sheetId="22494"/>
      <sheetData sheetId="22495"/>
      <sheetData sheetId="22496"/>
      <sheetData sheetId="22497"/>
      <sheetData sheetId="22498"/>
      <sheetData sheetId="22499"/>
      <sheetData sheetId="22500"/>
      <sheetData sheetId="22501"/>
      <sheetData sheetId="22502"/>
      <sheetData sheetId="22503"/>
      <sheetData sheetId="22504"/>
      <sheetData sheetId="22505"/>
      <sheetData sheetId="22506"/>
      <sheetData sheetId="22507"/>
      <sheetData sheetId="22508"/>
      <sheetData sheetId="22509"/>
      <sheetData sheetId="22510"/>
      <sheetData sheetId="22511"/>
      <sheetData sheetId="22512"/>
      <sheetData sheetId="22513"/>
      <sheetData sheetId="22514"/>
      <sheetData sheetId="22515"/>
      <sheetData sheetId="22516"/>
      <sheetData sheetId="22517"/>
      <sheetData sheetId="22518"/>
      <sheetData sheetId="22519"/>
      <sheetData sheetId="22520"/>
      <sheetData sheetId="22521"/>
      <sheetData sheetId="22522"/>
      <sheetData sheetId="22523"/>
      <sheetData sheetId="22524"/>
      <sheetData sheetId="22525"/>
      <sheetData sheetId="22526"/>
      <sheetData sheetId="22527"/>
      <sheetData sheetId="22528"/>
      <sheetData sheetId="22529"/>
      <sheetData sheetId="22530"/>
      <sheetData sheetId="22531"/>
      <sheetData sheetId="22532"/>
      <sheetData sheetId="22533"/>
      <sheetData sheetId="22534"/>
      <sheetData sheetId="22535"/>
      <sheetData sheetId="22536"/>
      <sheetData sheetId="22537"/>
      <sheetData sheetId="22538"/>
      <sheetData sheetId="22539"/>
      <sheetData sheetId="22540"/>
      <sheetData sheetId="22541"/>
      <sheetData sheetId="22542"/>
      <sheetData sheetId="22543"/>
      <sheetData sheetId="22544"/>
      <sheetData sheetId="22545"/>
      <sheetData sheetId="22546"/>
      <sheetData sheetId="22547"/>
      <sheetData sheetId="22548"/>
      <sheetData sheetId="22549"/>
      <sheetData sheetId="22550"/>
      <sheetData sheetId="22551"/>
      <sheetData sheetId="22552"/>
      <sheetData sheetId="22553"/>
      <sheetData sheetId="22554"/>
      <sheetData sheetId="22555"/>
      <sheetData sheetId="22556"/>
      <sheetData sheetId="22557"/>
      <sheetData sheetId="22558"/>
      <sheetData sheetId="22559"/>
      <sheetData sheetId="22560"/>
      <sheetData sheetId="22561"/>
      <sheetData sheetId="22562"/>
      <sheetData sheetId="22563"/>
      <sheetData sheetId="22564"/>
      <sheetData sheetId="22565"/>
      <sheetData sheetId="22566"/>
      <sheetData sheetId="22567"/>
      <sheetData sheetId="22568"/>
      <sheetData sheetId="22569"/>
      <sheetData sheetId="22570"/>
      <sheetData sheetId="22571"/>
      <sheetData sheetId="22572"/>
      <sheetData sheetId="22573"/>
      <sheetData sheetId="22574"/>
      <sheetData sheetId="22575"/>
      <sheetData sheetId="22576"/>
      <sheetData sheetId="22577"/>
      <sheetData sheetId="22578"/>
      <sheetData sheetId="22579"/>
      <sheetData sheetId="22580"/>
      <sheetData sheetId="22581"/>
      <sheetData sheetId="22582"/>
      <sheetData sheetId="22583"/>
      <sheetData sheetId="22584"/>
      <sheetData sheetId="22585"/>
      <sheetData sheetId="22586"/>
      <sheetData sheetId="22587"/>
      <sheetData sheetId="22588"/>
      <sheetData sheetId="22589"/>
      <sheetData sheetId="22590"/>
      <sheetData sheetId="22591"/>
      <sheetData sheetId="22592"/>
      <sheetData sheetId="22593"/>
      <sheetData sheetId="22594"/>
      <sheetData sheetId="22595"/>
      <sheetData sheetId="22596"/>
      <sheetData sheetId="22597"/>
      <sheetData sheetId="22598"/>
      <sheetData sheetId="22599"/>
      <sheetData sheetId="22600"/>
      <sheetData sheetId="22601"/>
      <sheetData sheetId="22602"/>
      <sheetData sheetId="22603"/>
      <sheetData sheetId="22604"/>
      <sheetData sheetId="22605"/>
      <sheetData sheetId="22606"/>
      <sheetData sheetId="22607"/>
      <sheetData sheetId="22608"/>
      <sheetData sheetId="22609"/>
      <sheetData sheetId="22610"/>
      <sheetData sheetId="22611"/>
      <sheetData sheetId="22612"/>
      <sheetData sheetId="22613"/>
      <sheetData sheetId="22614"/>
      <sheetData sheetId="22615"/>
      <sheetData sheetId="22616"/>
      <sheetData sheetId="22617"/>
      <sheetData sheetId="22618"/>
      <sheetData sheetId="22619"/>
      <sheetData sheetId="22620"/>
      <sheetData sheetId="22621"/>
      <sheetData sheetId="22622"/>
      <sheetData sheetId="22623"/>
      <sheetData sheetId="22624"/>
      <sheetData sheetId="22625"/>
      <sheetData sheetId="22626"/>
      <sheetData sheetId="22627"/>
      <sheetData sheetId="22628"/>
      <sheetData sheetId="22629"/>
      <sheetData sheetId="22630"/>
      <sheetData sheetId="22631"/>
      <sheetData sheetId="22632"/>
      <sheetData sheetId="22633"/>
      <sheetData sheetId="22634"/>
      <sheetData sheetId="22635"/>
      <sheetData sheetId="22636"/>
      <sheetData sheetId="22637"/>
      <sheetData sheetId="22638"/>
      <sheetData sheetId="22639"/>
      <sheetData sheetId="22640"/>
      <sheetData sheetId="22641"/>
      <sheetData sheetId="22642"/>
      <sheetData sheetId="22643"/>
      <sheetData sheetId="22644"/>
      <sheetData sheetId="22645"/>
      <sheetData sheetId="22646"/>
      <sheetData sheetId="22647"/>
      <sheetData sheetId="22648"/>
      <sheetData sheetId="22649"/>
      <sheetData sheetId="22650"/>
      <sheetData sheetId="22651"/>
      <sheetData sheetId="22652"/>
      <sheetData sheetId="22653"/>
      <sheetData sheetId="22654"/>
      <sheetData sheetId="22655"/>
      <sheetData sheetId="22656"/>
      <sheetData sheetId="22657"/>
      <sheetData sheetId="22658"/>
      <sheetData sheetId="22659"/>
      <sheetData sheetId="22660"/>
      <sheetData sheetId="22661"/>
      <sheetData sheetId="22662"/>
      <sheetData sheetId="22663"/>
      <sheetData sheetId="22664"/>
      <sheetData sheetId="22665"/>
      <sheetData sheetId="22666"/>
      <sheetData sheetId="22667"/>
      <sheetData sheetId="22668"/>
      <sheetData sheetId="22669"/>
      <sheetData sheetId="22670"/>
      <sheetData sheetId="22671"/>
      <sheetData sheetId="22672"/>
      <sheetData sheetId="22673"/>
      <sheetData sheetId="22674"/>
      <sheetData sheetId="22675"/>
      <sheetData sheetId="22676"/>
      <sheetData sheetId="22677"/>
      <sheetData sheetId="22678"/>
      <sheetData sheetId="22679"/>
      <sheetData sheetId="22680"/>
      <sheetData sheetId="22681"/>
      <sheetData sheetId="22682"/>
      <sheetData sheetId="22683"/>
      <sheetData sheetId="22684"/>
      <sheetData sheetId="22685"/>
      <sheetData sheetId="22686"/>
      <sheetData sheetId="22687"/>
      <sheetData sheetId="22688"/>
      <sheetData sheetId="22689"/>
      <sheetData sheetId="22690"/>
      <sheetData sheetId="22691"/>
      <sheetData sheetId="22692"/>
      <sheetData sheetId="22693"/>
      <sheetData sheetId="22694"/>
      <sheetData sheetId="22695"/>
      <sheetData sheetId="22696"/>
      <sheetData sheetId="22697"/>
      <sheetData sheetId="22698"/>
      <sheetData sheetId="22699"/>
      <sheetData sheetId="22700"/>
      <sheetData sheetId="22701"/>
      <sheetData sheetId="22702"/>
      <sheetData sheetId="22703"/>
      <sheetData sheetId="22704"/>
      <sheetData sheetId="22705"/>
      <sheetData sheetId="22706"/>
      <sheetData sheetId="22707"/>
      <sheetData sheetId="22708"/>
      <sheetData sheetId="22709"/>
      <sheetData sheetId="22710"/>
      <sheetData sheetId="22711"/>
      <sheetData sheetId="22712"/>
      <sheetData sheetId="22713"/>
      <sheetData sheetId="22714"/>
      <sheetData sheetId="22715"/>
      <sheetData sheetId="22716"/>
      <sheetData sheetId="22717"/>
      <sheetData sheetId="22718"/>
      <sheetData sheetId="22719"/>
      <sheetData sheetId="22720"/>
      <sheetData sheetId="22721"/>
      <sheetData sheetId="22722"/>
      <sheetData sheetId="22723"/>
      <sheetData sheetId="22724"/>
      <sheetData sheetId="22725"/>
      <sheetData sheetId="22726"/>
      <sheetData sheetId="22727"/>
      <sheetData sheetId="22728"/>
      <sheetData sheetId="22729"/>
      <sheetData sheetId="22730"/>
      <sheetData sheetId="22731"/>
      <sheetData sheetId="22732"/>
      <sheetData sheetId="22733"/>
      <sheetData sheetId="22734"/>
      <sheetData sheetId="22735"/>
      <sheetData sheetId="22736"/>
      <sheetData sheetId="22737"/>
      <sheetData sheetId="22738"/>
      <sheetData sheetId="22739"/>
      <sheetData sheetId="22740"/>
      <sheetData sheetId="22741"/>
      <sheetData sheetId="22742"/>
      <sheetData sheetId="22743"/>
      <sheetData sheetId="22744"/>
      <sheetData sheetId="22745"/>
      <sheetData sheetId="22746"/>
      <sheetData sheetId="22747"/>
      <sheetData sheetId="22748"/>
      <sheetData sheetId="22749"/>
      <sheetData sheetId="22750"/>
      <sheetData sheetId="22751"/>
      <sheetData sheetId="22752"/>
      <sheetData sheetId="22753"/>
      <sheetData sheetId="22754"/>
      <sheetData sheetId="22755"/>
      <sheetData sheetId="22756"/>
      <sheetData sheetId="22757"/>
      <sheetData sheetId="22758"/>
      <sheetData sheetId="22759"/>
      <sheetData sheetId="22760"/>
      <sheetData sheetId="22761"/>
      <sheetData sheetId="22762"/>
      <sheetData sheetId="22763"/>
      <sheetData sheetId="22764"/>
      <sheetData sheetId="22765"/>
      <sheetData sheetId="22766"/>
      <sheetData sheetId="22767"/>
      <sheetData sheetId="22768"/>
      <sheetData sheetId="22769"/>
      <sheetData sheetId="22770"/>
      <sheetData sheetId="22771"/>
      <sheetData sheetId="22772"/>
      <sheetData sheetId="22773"/>
      <sheetData sheetId="22774"/>
      <sheetData sheetId="22775"/>
      <sheetData sheetId="22776"/>
      <sheetData sheetId="22777"/>
      <sheetData sheetId="22778"/>
      <sheetData sheetId="22779"/>
      <sheetData sheetId="22780"/>
      <sheetData sheetId="22781"/>
      <sheetData sheetId="22782"/>
      <sheetData sheetId="22783"/>
      <sheetData sheetId="22784"/>
      <sheetData sheetId="22785"/>
      <sheetData sheetId="22786"/>
      <sheetData sheetId="22787"/>
      <sheetData sheetId="22788"/>
      <sheetData sheetId="22789"/>
      <sheetData sheetId="22790"/>
      <sheetData sheetId="22791"/>
      <sheetData sheetId="22792"/>
      <sheetData sheetId="22793"/>
      <sheetData sheetId="22794"/>
      <sheetData sheetId="22795"/>
      <sheetData sheetId="22796"/>
      <sheetData sheetId="22797"/>
      <sheetData sheetId="22798"/>
      <sheetData sheetId="22799"/>
      <sheetData sheetId="22800"/>
      <sheetData sheetId="22801"/>
      <sheetData sheetId="22802"/>
      <sheetData sheetId="22803"/>
      <sheetData sheetId="22804"/>
      <sheetData sheetId="22805"/>
      <sheetData sheetId="22806"/>
      <sheetData sheetId="22807"/>
      <sheetData sheetId="22808"/>
      <sheetData sheetId="22809"/>
      <sheetData sheetId="22810"/>
      <sheetData sheetId="22811"/>
      <sheetData sheetId="22812"/>
      <sheetData sheetId="22813"/>
      <sheetData sheetId="22814"/>
      <sheetData sheetId="22815"/>
      <sheetData sheetId="22816"/>
      <sheetData sheetId="22817"/>
      <sheetData sheetId="22818"/>
      <sheetData sheetId="22819"/>
      <sheetData sheetId="22820"/>
      <sheetData sheetId="22821"/>
      <sheetData sheetId="22822"/>
      <sheetData sheetId="22823"/>
      <sheetData sheetId="22824"/>
      <sheetData sheetId="22825"/>
      <sheetData sheetId="22826"/>
      <sheetData sheetId="22827"/>
      <sheetData sheetId="22828"/>
      <sheetData sheetId="22829"/>
      <sheetData sheetId="22830"/>
      <sheetData sheetId="22831"/>
      <sheetData sheetId="22832"/>
      <sheetData sheetId="22833"/>
      <sheetData sheetId="22834"/>
      <sheetData sheetId="22835"/>
      <sheetData sheetId="22836"/>
      <sheetData sheetId="22837"/>
      <sheetData sheetId="22838"/>
      <sheetData sheetId="22839"/>
      <sheetData sheetId="22840"/>
      <sheetData sheetId="22841"/>
      <sheetData sheetId="22842"/>
      <sheetData sheetId="22843"/>
      <sheetData sheetId="22844"/>
      <sheetData sheetId="22845"/>
      <sheetData sheetId="22846"/>
      <sheetData sheetId="22847"/>
      <sheetData sheetId="22848"/>
      <sheetData sheetId="22849"/>
      <sheetData sheetId="22850"/>
      <sheetData sheetId="22851"/>
      <sheetData sheetId="22852"/>
      <sheetData sheetId="22853"/>
      <sheetData sheetId="22854"/>
      <sheetData sheetId="22855"/>
      <sheetData sheetId="22856"/>
      <sheetData sheetId="22857"/>
      <sheetData sheetId="22858"/>
      <sheetData sheetId="22859"/>
      <sheetData sheetId="22860"/>
      <sheetData sheetId="22861"/>
      <sheetData sheetId="22862"/>
      <sheetData sheetId="22863"/>
      <sheetData sheetId="22864"/>
      <sheetData sheetId="22865"/>
      <sheetData sheetId="22866"/>
      <sheetData sheetId="22867"/>
      <sheetData sheetId="22868"/>
      <sheetData sheetId="22869"/>
      <sheetData sheetId="22870"/>
      <sheetData sheetId="22871"/>
      <sheetData sheetId="22872"/>
      <sheetData sheetId="22873"/>
      <sheetData sheetId="22874"/>
      <sheetData sheetId="22875"/>
      <sheetData sheetId="22876"/>
      <sheetData sheetId="22877"/>
      <sheetData sheetId="22878"/>
      <sheetData sheetId="22879"/>
      <sheetData sheetId="22880"/>
      <sheetData sheetId="22881"/>
      <sheetData sheetId="22882"/>
      <sheetData sheetId="22883"/>
      <sheetData sheetId="22884"/>
      <sheetData sheetId="22885"/>
      <sheetData sheetId="22886"/>
      <sheetData sheetId="22887"/>
      <sheetData sheetId="22888"/>
      <sheetData sheetId="22889"/>
      <sheetData sheetId="22890"/>
      <sheetData sheetId="22891"/>
      <sheetData sheetId="22892"/>
      <sheetData sheetId="22893"/>
      <sheetData sheetId="22894"/>
      <sheetData sheetId="22895"/>
      <sheetData sheetId="22896"/>
      <sheetData sheetId="22897"/>
      <sheetData sheetId="22898"/>
      <sheetData sheetId="22899"/>
      <sheetData sheetId="22900"/>
      <sheetData sheetId="22901"/>
      <sheetData sheetId="22902"/>
      <sheetData sheetId="22903"/>
      <sheetData sheetId="22904"/>
      <sheetData sheetId="22905"/>
      <sheetData sheetId="22906"/>
      <sheetData sheetId="22907"/>
      <sheetData sheetId="22908"/>
      <sheetData sheetId="22909"/>
      <sheetData sheetId="22910"/>
      <sheetData sheetId="22911"/>
      <sheetData sheetId="22912"/>
      <sheetData sheetId="22913"/>
      <sheetData sheetId="22914"/>
      <sheetData sheetId="22915"/>
      <sheetData sheetId="22916"/>
      <sheetData sheetId="22917"/>
      <sheetData sheetId="22918"/>
      <sheetData sheetId="22919"/>
      <sheetData sheetId="22920"/>
      <sheetData sheetId="22921"/>
      <sheetData sheetId="22922"/>
      <sheetData sheetId="22923"/>
      <sheetData sheetId="22924"/>
      <sheetData sheetId="22925"/>
      <sheetData sheetId="22926"/>
      <sheetData sheetId="22927"/>
      <sheetData sheetId="22928"/>
      <sheetData sheetId="22929"/>
      <sheetData sheetId="22930"/>
      <sheetData sheetId="22931"/>
      <sheetData sheetId="22932"/>
      <sheetData sheetId="22933"/>
      <sheetData sheetId="22934"/>
      <sheetData sheetId="22935"/>
      <sheetData sheetId="22936"/>
      <sheetData sheetId="22937"/>
      <sheetData sheetId="22938"/>
      <sheetData sheetId="22939"/>
      <sheetData sheetId="22940"/>
      <sheetData sheetId="22941"/>
      <sheetData sheetId="22942"/>
      <sheetData sheetId="22943"/>
      <sheetData sheetId="22944"/>
      <sheetData sheetId="22945"/>
      <sheetData sheetId="22946"/>
      <sheetData sheetId="22947"/>
      <sheetData sheetId="22948"/>
      <sheetData sheetId="22949"/>
      <sheetData sheetId="22950"/>
      <sheetData sheetId="22951"/>
      <sheetData sheetId="22952"/>
      <sheetData sheetId="22953"/>
      <sheetData sheetId="22954"/>
      <sheetData sheetId="22955"/>
      <sheetData sheetId="22956"/>
      <sheetData sheetId="22957"/>
      <sheetData sheetId="22958"/>
      <sheetData sheetId="22959"/>
      <sheetData sheetId="22960"/>
      <sheetData sheetId="22961"/>
      <sheetData sheetId="22962"/>
      <sheetData sheetId="22963"/>
      <sheetData sheetId="22964"/>
      <sheetData sheetId="22965"/>
      <sheetData sheetId="22966"/>
      <sheetData sheetId="22967" refreshError="1"/>
      <sheetData sheetId="22968" refreshError="1"/>
      <sheetData sheetId="22969"/>
      <sheetData sheetId="22970"/>
      <sheetData sheetId="22971"/>
      <sheetData sheetId="22972" refreshError="1"/>
      <sheetData sheetId="22973"/>
      <sheetData sheetId="22974"/>
      <sheetData sheetId="22975"/>
      <sheetData sheetId="22976"/>
      <sheetData sheetId="22977"/>
      <sheetData sheetId="22978"/>
      <sheetData sheetId="22979"/>
      <sheetData sheetId="22980"/>
      <sheetData sheetId="22981"/>
      <sheetData sheetId="22982"/>
      <sheetData sheetId="22983">
        <row r="9">
          <cell r="A9" t="str">
            <v>A</v>
          </cell>
        </row>
      </sheetData>
      <sheetData sheetId="22984"/>
      <sheetData sheetId="22985"/>
      <sheetData sheetId="22986"/>
      <sheetData sheetId="22987"/>
      <sheetData sheetId="22988"/>
      <sheetData sheetId="22989"/>
      <sheetData sheetId="22990"/>
      <sheetData sheetId="22991"/>
      <sheetData sheetId="22992"/>
      <sheetData sheetId="22993"/>
      <sheetData sheetId="22994"/>
      <sheetData sheetId="22995"/>
      <sheetData sheetId="22996" refreshError="1"/>
      <sheetData sheetId="22997" refreshError="1"/>
      <sheetData sheetId="22998" refreshError="1"/>
      <sheetData sheetId="22999"/>
      <sheetData sheetId="23000" refreshError="1"/>
      <sheetData sheetId="23001">
        <row r="9">
          <cell r="A9" t="str">
            <v>A</v>
          </cell>
        </row>
      </sheetData>
      <sheetData sheetId="23002"/>
      <sheetData sheetId="23003"/>
      <sheetData sheetId="23004"/>
      <sheetData sheetId="23005"/>
      <sheetData sheetId="23006"/>
      <sheetData sheetId="23007"/>
      <sheetData sheetId="23008" refreshError="1"/>
      <sheetData sheetId="23009" refreshError="1"/>
      <sheetData sheetId="23010" refreshError="1"/>
      <sheetData sheetId="23011" refreshError="1"/>
      <sheetData sheetId="23012" refreshError="1"/>
      <sheetData sheetId="23013" refreshError="1"/>
      <sheetData sheetId="230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1"/>
      <sheetName val="BOQ2"/>
      <sheetName val="BOQ3"/>
      <sheetName val="Estimate"/>
      <sheetName val="Estimate1"/>
      <sheetName val="Summary"/>
      <sheetName val="Temp"/>
      <sheetName val="Rates"/>
      <sheetName val="Bill-1A (2)"/>
      <sheetName val="Bill-1B (2)"/>
      <sheetName val="Bill 2"/>
      <sheetName val="Bill 3"/>
      <sheetName val="Bill 4"/>
      <sheetName val="Bill 5"/>
      <sheetName val="Bill 6"/>
      <sheetName val="Bill7"/>
      <sheetName val="Bill 10"/>
      <sheetName val="Bill 8"/>
      <sheetName val="Bill-9"/>
      <sheetName val="Bill-9-1"/>
      <sheetName val="Bill-9-2"/>
      <sheetName val="Bill-9-3"/>
      <sheetName val="bill10"/>
      <sheetName val="bill11edi"/>
      <sheetName val="Sheet1"/>
      <sheetName val="PLT-SUM"/>
    </sheetNames>
    <sheetDataSet>
      <sheetData sheetId="0"/>
      <sheetData sheetId="1">
        <row r="573">
          <cell r="G573">
            <v>0</v>
          </cell>
        </row>
        <row r="575">
          <cell r="G575">
            <v>0</v>
          </cell>
        </row>
        <row r="577">
          <cell r="G577">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573">
          <cell r="G573">
            <v>0</v>
          </cell>
        </row>
      </sheetData>
      <sheetData sheetId="20"/>
      <sheetData sheetId="21"/>
      <sheetData sheetId="22"/>
      <sheetData sheetId="23"/>
      <sheetData sheetId="24"/>
      <sheetData sheetId="2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y Sheet_Measure"/>
      <sheetName val="Fly Sheet_Measure Summary"/>
      <sheetName val="Fly Sheet_Price Escalation"/>
      <sheetName val="IPA (R)"/>
      <sheetName val="Grand Sum (R)"/>
      <sheetName val="Bill No.1A (R)"/>
      <sheetName val="Bill No.1B (R)"/>
      <sheetName val="Bill No.2 (R)"/>
      <sheetName val="Bill No.3 (R)"/>
      <sheetName val="Bill No.4 (R)"/>
      <sheetName val="Bill No.5 (R)"/>
      <sheetName val="Bill No.6 (R)"/>
      <sheetName val="Bill No.7 (R)"/>
      <sheetName val="Bill No.8 (R)"/>
      <sheetName val="Bill No.9.1 (R)"/>
      <sheetName val="Bill No.9.2 (R)"/>
      <sheetName val="Bill No.9.3 (R)"/>
      <sheetName val="Bill No.10.1 (R)"/>
      <sheetName val="Bill No.10.2 (R)"/>
      <sheetName val="Claims"/>
      <sheetName val="Price Escalation"/>
      <sheetName val="Material at Site"/>
      <sheetName val="C.Transport.ABC"/>
      <sheetName val="1B-1.103(1)"/>
      <sheetName val="2-1.201(1)"/>
      <sheetName val="2-2.201(2)"/>
      <sheetName val="2-3.201(3)"/>
      <sheetName val="2-4.201(4)"/>
      <sheetName val="2-5.201(5)"/>
      <sheetName val="2-6.201(6)"/>
      <sheetName val="2-7.201(7)"/>
      <sheetName val="2-8.201(8)"/>
      <sheetName val="2-9.201(9)"/>
      <sheetName val="2-10.201(10)"/>
      <sheetName val="2-11.202(1)"/>
      <sheetName val="2-12.202(2)"/>
      <sheetName val="2-13.202(3)"/>
      <sheetName val="2-14.202(4)"/>
      <sheetName val="2-15.202(5)"/>
      <sheetName val="2-16.202(6)"/>
      <sheetName val="3-1.301(1)"/>
      <sheetName val="3-2.301(2)"/>
      <sheetName val="3-3.301(3)"/>
      <sheetName val="3-4.301(4)"/>
      <sheetName val="3-5.301(5)"/>
      <sheetName val="3-6.301(6)"/>
      <sheetName val="3-7.301(7)"/>
      <sheetName val="3-8.302(1)"/>
      <sheetName val="3-9.302(2)"/>
      <sheetName val="3-10.302(3)"/>
      <sheetName val="3-11.302(4)"/>
      <sheetName val="3-12.304(1)"/>
      <sheetName val="3-13.304(2)"/>
      <sheetName val="3-14.304(3)"/>
      <sheetName val="3-15.304(4)"/>
      <sheetName val="3-16.304(5)"/>
      <sheetName val="3-16.307(1)"/>
      <sheetName val="3-17.307(2)"/>
      <sheetName val="3-18.307(3)"/>
      <sheetName val="3-19.307(4)"/>
      <sheetName val="4-1.401(1)"/>
      <sheetName val="4-2.402(1)"/>
      <sheetName val="4-3.402(3)"/>
      <sheetName val="4-4.405(1)"/>
      <sheetName val="4-5.408(1)"/>
      <sheetName val="4-6.409(1)"/>
      <sheetName val="4-7.402(1)"/>
      <sheetName val="4-8.402(3)"/>
      <sheetName val="4-9.409(2)"/>
      <sheetName val="4-10.409(3)"/>
      <sheetName val="4-11.409(4)"/>
      <sheetName val="4-12.1710(1)"/>
      <sheetName val="4-13.501(1)"/>
      <sheetName val="4-14.501(2)"/>
      <sheetName val="4-15.502(1)"/>
      <sheetName val="4-16.502(2)"/>
      <sheetName val="4-17.505(1)"/>
      <sheetName val="4-18.505(2)"/>
      <sheetName val="4-19.505(3)"/>
      <sheetName val="4-20.505(4)"/>
      <sheetName val="4-21.506(1)"/>
      <sheetName val="4-22.506(2)"/>
      <sheetName val="5-1.1001(1)"/>
      <sheetName val="5-2.1001(2)"/>
      <sheetName val="5-3.1006(1)"/>
      <sheetName val="5-4.1006(2)"/>
      <sheetName val="5-5.701(3)"/>
      <sheetName val="5-6.701(4)"/>
      <sheetName val="5-7.1002(1)"/>
      <sheetName val="5-8.1008(1)"/>
      <sheetName val="5-9.1008(2)"/>
      <sheetName val="5-10.702(1)"/>
      <sheetName val="5-11.702(2)"/>
      <sheetName val="5-12.1710(1)"/>
      <sheetName val="5-13.704(1)"/>
      <sheetName val="5-14.1301(1)"/>
      <sheetName val="5-15.1302(1)"/>
      <sheetName val="5-16.1303(1)"/>
      <sheetName val="5-17.1303(2)"/>
      <sheetName val="6-1.1001(1)"/>
      <sheetName val="6-2.1001(3)"/>
      <sheetName val="6-3.1001(4)"/>
      <sheetName val="6-4.1002(1)"/>
      <sheetName val="6-5.1006(1)"/>
      <sheetName val="6-6.1008(1)"/>
      <sheetName val="6-7.1008(2)"/>
      <sheetName val="6-8.705(1)"/>
      <sheetName val="6-9.705(2)"/>
      <sheetName val="6-10.706(1)"/>
      <sheetName val="6-11.706(2)"/>
      <sheetName val="6-12.814(1)"/>
      <sheetName val="6-13.814(2)"/>
      <sheetName val="6-14.707(1)"/>
      <sheetName val="6-15.707(2)"/>
      <sheetName val="6-16.707(3)"/>
      <sheetName val="6-17.707(8)"/>
      <sheetName val="6-18.1001(1)"/>
      <sheetName val="6-19.1001(2)"/>
      <sheetName val="6-20.1001(3)"/>
      <sheetName val="6-21.1001(4)"/>
      <sheetName val="6-22.1002(1)"/>
      <sheetName val="6-23.1002(2)"/>
      <sheetName val="6-24.1006(1)"/>
      <sheetName val="6-25.1006(2)"/>
      <sheetName val="6-26.1008(1)"/>
      <sheetName val="6-27.1008(2)"/>
      <sheetName val="6-28.705(1)"/>
      <sheetName val="6-29.705(2)"/>
      <sheetName val="6-30.706(1)"/>
      <sheetName val="6-31.707(10)"/>
      <sheetName val="BOQ Summary"/>
      <sheetName val="7-1.801(1)"/>
      <sheetName val="7-2.802(1)"/>
      <sheetName val="7-3.804(1)"/>
      <sheetName val="7-4.806(1)"/>
      <sheetName val="7-5.806(2)"/>
      <sheetName val="7-6.807(1)"/>
      <sheetName val="7-9.807(4)"/>
      <sheetName val="7-10.808(1)"/>
      <sheetName val="7-11.810(1)"/>
      <sheetName val="7-12.810(2)"/>
      <sheetName val="7-13.810(3)"/>
      <sheetName val="7-14.810(4)"/>
      <sheetName val="7-15.810(5)"/>
      <sheetName val="7-16.811(1)"/>
      <sheetName val="7-17.811(2)"/>
      <sheetName val="7-18.811(3)"/>
      <sheetName val="7-19.811(4)"/>
      <sheetName val="7-20.813(1)"/>
      <sheetName val="7-21.701(2)"/>
      <sheetName val="7-22.815(1)"/>
      <sheetName val="7-23.815(2)"/>
      <sheetName val="7-24.815(3)"/>
      <sheetName val="7-25.1101(1)"/>
      <sheetName val="7-26.1101(2)"/>
      <sheetName val="7-31.---(-)"/>
      <sheetName val="8-1.103(2)"/>
      <sheetName val="8-2.111(1)"/>
      <sheetName val="8-3.113.1(1)"/>
      <sheetName val="8-4.113.1(2)"/>
      <sheetName val="8-5.117.1(1)"/>
      <sheetName val="8-6.117.1(2)"/>
      <sheetName val="8-7.117.1(3)"/>
      <sheetName val="8-8.703(1)"/>
      <sheetName val="8-9.1103(1)"/>
      <sheetName val="8-10.1103(1).1"/>
      <sheetName val="9.DAY_WORK_SUMMARY"/>
      <sheetName val="9.DAY_WORK_SHEETS"/>
      <sheetName val="10.1-101.302(2)"/>
      <sheetName val="10.1-102.1001(1)"/>
      <sheetName val="10.1-103.1006(1)"/>
      <sheetName val="10.1-105.1001(3)"/>
      <sheetName val="10.1-106.1006(2)"/>
      <sheetName val="10.1-107.1008(1)"/>
      <sheetName val="10.1-108.1002(1)"/>
      <sheetName val="10.1-109.1001(2)"/>
      <sheetName val="10.2-104.1007(2)"/>
      <sheetName val="BOQ3"/>
      <sheetName val="BOQ2"/>
      <sheetName val="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ow r="1">
          <cell r="N1" t="str">
            <v>January_06_2011</v>
          </cell>
          <cell r="O1" t="str">
            <v>January_13_2011</v>
          </cell>
          <cell r="P1" t="str">
            <v>January_20_2011</v>
          </cell>
          <cell r="Q1" t="str">
            <v>January_27_2011</v>
          </cell>
          <cell r="R1" t="str">
            <v>February_03_2011</v>
          </cell>
          <cell r="S1" t="str">
            <v>February_10_2011</v>
          </cell>
          <cell r="T1" t="str">
            <v>February_17_2011</v>
          </cell>
          <cell r="U1" t="str">
            <v>February_24_2011</v>
          </cell>
          <cell r="V1" t="str">
            <v>March_03_2011</v>
          </cell>
          <cell r="W1" t="str">
            <v>March_10_2011</v>
          </cell>
          <cell r="X1" t="str">
            <v>March_17_2011</v>
          </cell>
          <cell r="Y1" t="str">
            <v>March_24_2011</v>
          </cell>
          <cell r="Z1" t="str">
            <v>March_31_2011</v>
          </cell>
          <cell r="AA1" t="str">
            <v>April_07_2011</v>
          </cell>
          <cell r="AB1" t="str">
            <v>April_14_2011</v>
          </cell>
          <cell r="AC1" t="str">
            <v>April_21_2011</v>
          </cell>
          <cell r="AD1" t="str">
            <v>April_28_2011</v>
          </cell>
          <cell r="AE1" t="str">
            <v>May_05_2011</v>
          </cell>
          <cell r="AF1" t="str">
            <v>May_12_2011</v>
          </cell>
          <cell r="AG1" t="str">
            <v>May_19_2011</v>
          </cell>
          <cell r="AH1" t="str">
            <v>May_26_2011</v>
          </cell>
          <cell r="AI1" t="str">
            <v>June_02_2011</v>
          </cell>
          <cell r="AJ1" t="str">
            <v>June_09_2011</v>
          </cell>
          <cell r="AK1" t="str">
            <v>June_16_2011</v>
          </cell>
          <cell r="AL1" t="str">
            <v>June_23_2011</v>
          </cell>
          <cell r="AM1" t="str">
            <v>June_30_2011</v>
          </cell>
          <cell r="AN1" t="str">
            <v>July_07_2011</v>
          </cell>
          <cell r="AO1" t="str">
            <v>July_14_2011</v>
          </cell>
          <cell r="AP1" t="str">
            <v>July_21_2011</v>
          </cell>
          <cell r="AQ1" t="str">
            <v>July_28_2011</v>
          </cell>
          <cell r="AR1" t="str">
            <v>August_04_2011</v>
          </cell>
          <cell r="AS1" t="str">
            <v>August_11_2011</v>
          </cell>
          <cell r="AT1" t="str">
            <v>August_18_2011</v>
          </cell>
          <cell r="AU1" t="str">
            <v>August_25_2011</v>
          </cell>
          <cell r="AV1" t="str">
            <v>September_01_2011</v>
          </cell>
          <cell r="AW1" t="str">
            <v>September_08_2011</v>
          </cell>
          <cell r="AX1" t="str">
            <v>September_15_2011</v>
          </cell>
          <cell r="AY1" t="str">
            <v>September_22_2011</v>
          </cell>
          <cell r="AZ1" t="str">
            <v>September_29_2011</v>
          </cell>
          <cell r="BA1" t="str">
            <v>October_06_2011</v>
          </cell>
          <cell r="BB1" t="str">
            <v>October_13_2011</v>
          </cell>
          <cell r="BC1" t="str">
            <v>October_20_2011</v>
          </cell>
          <cell r="BD1" t="str">
            <v>October_27_2011</v>
          </cell>
          <cell r="BE1" t="str">
            <v>November_03_2011</v>
          </cell>
          <cell r="BF1" t="str">
            <v>November_10_2011</v>
          </cell>
          <cell r="BG1" t="str">
            <v>November_17_2011</v>
          </cell>
          <cell r="BH1" t="str">
            <v>November_24_2011</v>
          </cell>
          <cell r="BI1" t="str">
            <v>December_01_2011</v>
          </cell>
          <cell r="BJ1" t="str">
            <v>December_08_2011</v>
          </cell>
          <cell r="BK1" t="str">
            <v>December_15_2011</v>
          </cell>
          <cell r="BL1" t="str">
            <v>December_22_2011</v>
          </cell>
          <cell r="BM1" t="str">
            <v>December_29_2011</v>
          </cell>
          <cell r="BN1" t="str">
            <v>January_05_2012</v>
          </cell>
          <cell r="BO1" t="str">
            <v>January_12_2012</v>
          </cell>
          <cell r="BP1" t="str">
            <v>January_19_2012</v>
          </cell>
          <cell r="BQ1" t="str">
            <v>January_26_2012</v>
          </cell>
          <cell r="BR1" t="str">
            <v>February_02_2012</v>
          </cell>
          <cell r="BS1" t="str">
            <v>February_09_2012</v>
          </cell>
          <cell r="BT1" t="str">
            <v>February_16_2012</v>
          </cell>
          <cell r="BU1" t="str">
            <v>February_23_2012</v>
          </cell>
          <cell r="BV1" t="str">
            <v>March_01_2012</v>
          </cell>
          <cell r="BW1" t="str">
            <v>March_08_2012</v>
          </cell>
          <cell r="BX1" t="str">
            <v>March_15_2012</v>
          </cell>
          <cell r="BY1" t="str">
            <v>March_22_2012</v>
          </cell>
          <cell r="BZ1" t="str">
            <v>March_29_2012</v>
          </cell>
          <cell r="CA1" t="str">
            <v>April_05_2012</v>
          </cell>
          <cell r="CB1" t="str">
            <v>April_12_2012</v>
          </cell>
          <cell r="CC1" t="str">
            <v>April_19_2012</v>
          </cell>
          <cell r="CD1" t="str">
            <v>April_26_2012</v>
          </cell>
          <cell r="CE1" t="str">
            <v>May_03_2012</v>
          </cell>
          <cell r="CF1" t="str">
            <v>May_10_2012</v>
          </cell>
          <cell r="CG1" t="str">
            <v>May_17_2012</v>
          </cell>
          <cell r="CH1" t="str">
            <v>May_24_2012</v>
          </cell>
          <cell r="CI1" t="str">
            <v>May_31_2012</v>
          </cell>
          <cell r="CJ1" t="str">
            <v>June_07_2012</v>
          </cell>
          <cell r="CK1" t="str">
            <v>June_14_2012</v>
          </cell>
          <cell r="CL1" t="str">
            <v>June_21_2012</v>
          </cell>
          <cell r="CM1" t="str">
            <v>June_28_2012</v>
          </cell>
          <cell r="CN1" t="str">
            <v>July_05_2012</v>
          </cell>
          <cell r="CO1" t="str">
            <v>July_12_2012</v>
          </cell>
          <cell r="CP1" t="str">
            <v>July_19_2012</v>
          </cell>
          <cell r="CQ1" t="str">
            <v>July_26_2012</v>
          </cell>
          <cell r="CR1" t="str">
            <v>August_02_2012</v>
          </cell>
          <cell r="CS1" t="str">
            <v>August_09_2012</v>
          </cell>
          <cell r="CT1" t="str">
            <v>August_16_2012</v>
          </cell>
          <cell r="CU1" t="str">
            <v>August_23_2012</v>
          </cell>
          <cell r="CV1" t="str">
            <v>August_30_2012</v>
          </cell>
          <cell r="CW1" t="str">
            <v>September_06_2012</v>
          </cell>
          <cell r="CX1" t="str">
            <v>September_13_2012</v>
          </cell>
          <cell r="CY1" t="str">
            <v>September_20_2012</v>
          </cell>
          <cell r="CZ1" t="str">
            <v>September_27_2012</v>
          </cell>
          <cell r="DA1" t="str">
            <v>October_04_2012</v>
          </cell>
          <cell r="DB1" t="str">
            <v>October_11_2012</v>
          </cell>
          <cell r="DC1" t="str">
            <v>October_18_2012</v>
          </cell>
          <cell r="DD1" t="str">
            <v>October_25_2012</v>
          </cell>
          <cell r="DE1" t="str">
            <v>November_01_2012</v>
          </cell>
          <cell r="DF1" t="str">
            <v>November_08_2012</v>
          </cell>
          <cell r="DG1" t="str">
            <v>November_15_2012</v>
          </cell>
          <cell r="DH1" t="str">
            <v>November_22_2012</v>
          </cell>
          <cell r="DI1" t="str">
            <v>November_29_2012</v>
          </cell>
          <cell r="DJ1" t="str">
            <v>December_06_2012</v>
          </cell>
          <cell r="DK1" t="str">
            <v>December_13_2012</v>
          </cell>
          <cell r="DL1" t="str">
            <v>December_20_2012</v>
          </cell>
          <cell r="DM1" t="str">
            <v>December_27_2012</v>
          </cell>
          <cell r="DO1" t="str">
            <v>December_2010</v>
          </cell>
          <cell r="DP1" t="str">
            <v>January_2011</v>
          </cell>
          <cell r="DQ1" t="str">
            <v>February_2011</v>
          </cell>
          <cell r="DR1" t="str">
            <v>March_2011</v>
          </cell>
          <cell r="DS1" t="str">
            <v>April_2011</v>
          </cell>
          <cell r="DT1" t="str">
            <v>May_2011</v>
          </cell>
          <cell r="DU1" t="str">
            <v>June_2011</v>
          </cell>
          <cell r="DV1" t="str">
            <v>July_2011</v>
          </cell>
          <cell r="DW1" t="str">
            <v>August_2011</v>
          </cell>
          <cell r="DX1" t="str">
            <v>September_2011</v>
          </cell>
          <cell r="DY1" t="str">
            <v>October_2011</v>
          </cell>
          <cell r="DZ1" t="str">
            <v>November_2011</v>
          </cell>
          <cell r="EA1" t="str">
            <v>December_2011</v>
          </cell>
          <cell r="EB1" t="str">
            <v>January_2012</v>
          </cell>
          <cell r="EC1" t="str">
            <v>February_2012</v>
          </cell>
          <cell r="ED1" t="str">
            <v>March_2012</v>
          </cell>
          <cell r="EE1" t="str">
            <v>April_2012</v>
          </cell>
          <cell r="EF1" t="str">
            <v>May_2012</v>
          </cell>
          <cell r="EG1" t="str">
            <v>June_2012</v>
          </cell>
          <cell r="EH1" t="str">
            <v>July_2012</v>
          </cell>
          <cell r="EI1" t="str">
            <v>August_2012</v>
          </cell>
          <cell r="EJ1" t="str">
            <v>September_2012</v>
          </cell>
          <cell r="EK1" t="str">
            <v>October_2012</v>
          </cell>
          <cell r="EL1" t="str">
            <v>November_2012</v>
          </cell>
          <cell r="EM1" t="str">
            <v>December_2012</v>
          </cell>
        </row>
        <row r="2">
          <cell r="M2">
            <v>40542</v>
          </cell>
          <cell r="N2">
            <v>40549</v>
          </cell>
          <cell r="O2">
            <v>40556</v>
          </cell>
          <cell r="P2">
            <v>40563</v>
          </cell>
          <cell r="Q2">
            <v>40570</v>
          </cell>
          <cell r="R2">
            <v>40577</v>
          </cell>
          <cell r="S2">
            <v>40584</v>
          </cell>
          <cell r="T2">
            <v>40591</v>
          </cell>
          <cell r="U2">
            <v>40598</v>
          </cell>
          <cell r="V2">
            <v>40605</v>
          </cell>
          <cell r="W2">
            <v>40612</v>
          </cell>
          <cell r="X2">
            <v>40619</v>
          </cell>
          <cell r="Y2">
            <v>40626</v>
          </cell>
          <cell r="Z2">
            <v>40633</v>
          </cell>
          <cell r="AA2">
            <v>40640</v>
          </cell>
          <cell r="AB2">
            <v>40647</v>
          </cell>
          <cell r="AC2">
            <v>40654</v>
          </cell>
          <cell r="AD2">
            <v>40661</v>
          </cell>
          <cell r="AE2">
            <v>40668</v>
          </cell>
          <cell r="AF2">
            <v>40675</v>
          </cell>
          <cell r="AG2">
            <v>40682</v>
          </cell>
          <cell r="AH2">
            <v>40689</v>
          </cell>
          <cell r="AI2">
            <v>40696</v>
          </cell>
          <cell r="AJ2">
            <v>40703</v>
          </cell>
          <cell r="AK2">
            <v>40710</v>
          </cell>
          <cell r="AL2">
            <v>40717</v>
          </cell>
          <cell r="AM2">
            <v>40724</v>
          </cell>
          <cell r="AN2">
            <v>40731</v>
          </cell>
          <cell r="AO2">
            <v>40738</v>
          </cell>
          <cell r="AP2">
            <v>40745</v>
          </cell>
          <cell r="AQ2">
            <v>40752</v>
          </cell>
          <cell r="AR2">
            <v>40759</v>
          </cell>
          <cell r="AS2">
            <v>40766</v>
          </cell>
          <cell r="AT2">
            <v>40773</v>
          </cell>
          <cell r="AU2">
            <v>40780</v>
          </cell>
          <cell r="AV2">
            <v>40787</v>
          </cell>
          <cell r="AW2">
            <v>40794</v>
          </cell>
          <cell r="AX2">
            <v>40801</v>
          </cell>
          <cell r="AY2">
            <v>40808</v>
          </cell>
          <cell r="AZ2">
            <v>40815</v>
          </cell>
          <cell r="BA2">
            <v>40822</v>
          </cell>
          <cell r="BB2">
            <v>40829</v>
          </cell>
          <cell r="BC2">
            <v>40836</v>
          </cell>
          <cell r="BD2">
            <v>40843</v>
          </cell>
          <cell r="BE2">
            <v>40850</v>
          </cell>
          <cell r="BF2">
            <v>40857</v>
          </cell>
          <cell r="BG2">
            <v>40864</v>
          </cell>
          <cell r="BH2">
            <v>40871</v>
          </cell>
          <cell r="BI2">
            <v>40878</v>
          </cell>
          <cell r="BJ2">
            <v>40885</v>
          </cell>
          <cell r="BK2">
            <v>40892</v>
          </cell>
          <cell r="BL2">
            <v>40899</v>
          </cell>
          <cell r="BM2">
            <v>40906</v>
          </cell>
          <cell r="BN2">
            <v>40913</v>
          </cell>
          <cell r="BO2">
            <v>40920</v>
          </cell>
          <cell r="BP2">
            <v>40927</v>
          </cell>
          <cell r="BQ2">
            <v>40934</v>
          </cell>
          <cell r="BR2">
            <v>40941</v>
          </cell>
          <cell r="BS2">
            <v>40948</v>
          </cell>
          <cell r="BT2">
            <v>40955</v>
          </cell>
          <cell r="BU2">
            <v>40962</v>
          </cell>
          <cell r="BV2">
            <v>40969</v>
          </cell>
          <cell r="BW2">
            <v>40976</v>
          </cell>
          <cell r="BX2">
            <v>40983</v>
          </cell>
          <cell r="BY2">
            <v>40990</v>
          </cell>
          <cell r="BZ2">
            <v>40997</v>
          </cell>
          <cell r="CA2">
            <v>41004</v>
          </cell>
          <cell r="CB2">
            <v>41011</v>
          </cell>
          <cell r="CC2">
            <v>41018</v>
          </cell>
          <cell r="CD2">
            <v>41025</v>
          </cell>
          <cell r="CE2">
            <v>41032</v>
          </cell>
          <cell r="CF2">
            <v>41039</v>
          </cell>
          <cell r="CG2">
            <v>41046</v>
          </cell>
          <cell r="CH2">
            <v>41053</v>
          </cell>
          <cell r="CI2">
            <v>41060</v>
          </cell>
          <cell r="CJ2">
            <v>41067</v>
          </cell>
          <cell r="CK2">
            <v>41074</v>
          </cell>
          <cell r="CL2">
            <v>41081</v>
          </cell>
          <cell r="CM2">
            <v>41088</v>
          </cell>
          <cell r="CN2">
            <v>41095</v>
          </cell>
          <cell r="CO2">
            <v>41102</v>
          </cell>
          <cell r="CP2">
            <v>41109</v>
          </cell>
          <cell r="CQ2">
            <v>41116</v>
          </cell>
          <cell r="CR2">
            <v>41123</v>
          </cell>
          <cell r="CS2">
            <v>41130</v>
          </cell>
          <cell r="CT2">
            <v>41137</v>
          </cell>
          <cell r="CU2">
            <v>41144</v>
          </cell>
          <cell r="CV2">
            <v>41151</v>
          </cell>
          <cell r="CW2">
            <v>41158</v>
          </cell>
          <cell r="CX2">
            <v>41165</v>
          </cell>
          <cell r="CY2">
            <v>41172</v>
          </cell>
          <cell r="CZ2">
            <v>41179</v>
          </cell>
          <cell r="DA2">
            <v>41186</v>
          </cell>
          <cell r="DB2">
            <v>41193</v>
          </cell>
          <cell r="DC2">
            <v>41200</v>
          </cell>
          <cell r="DD2">
            <v>41207</v>
          </cell>
          <cell r="DE2">
            <v>41214</v>
          </cell>
          <cell r="DF2">
            <v>41221</v>
          </cell>
          <cell r="DG2">
            <v>41228</v>
          </cell>
          <cell r="DH2">
            <v>41235</v>
          </cell>
          <cell r="DI2">
            <v>41242</v>
          </cell>
          <cell r="DJ2">
            <v>41249</v>
          </cell>
          <cell r="DK2">
            <v>41256</v>
          </cell>
          <cell r="DL2">
            <v>41263</v>
          </cell>
          <cell r="DM2">
            <v>41270</v>
          </cell>
          <cell r="DO2">
            <v>40543</v>
          </cell>
          <cell r="DP2">
            <v>40574</v>
          </cell>
          <cell r="DQ2">
            <v>40602</v>
          </cell>
          <cell r="DR2">
            <v>40633</v>
          </cell>
          <cell r="DS2">
            <v>40663</v>
          </cell>
          <cell r="DT2">
            <v>40694</v>
          </cell>
          <cell r="DU2">
            <v>40724</v>
          </cell>
          <cell r="DV2">
            <v>40755</v>
          </cell>
          <cell r="DW2">
            <v>40786</v>
          </cell>
          <cell r="DX2">
            <v>40816</v>
          </cell>
          <cell r="DY2">
            <v>40847</v>
          </cell>
          <cell r="DZ2">
            <v>40877</v>
          </cell>
          <cell r="EA2">
            <v>40908</v>
          </cell>
          <cell r="EB2">
            <v>40939</v>
          </cell>
          <cell r="EC2">
            <v>40968</v>
          </cell>
          <cell r="ED2">
            <v>40999</v>
          </cell>
          <cell r="EE2">
            <v>41029</v>
          </cell>
          <cell r="EF2">
            <v>41060</v>
          </cell>
          <cell r="EG2">
            <v>41090</v>
          </cell>
          <cell r="EH2">
            <v>41121</v>
          </cell>
          <cell r="EI2">
            <v>41152</v>
          </cell>
          <cell r="EJ2">
            <v>41182</v>
          </cell>
          <cell r="EK2">
            <v>41213</v>
          </cell>
          <cell r="EL2">
            <v>41243</v>
          </cell>
          <cell r="EM2">
            <v>41274</v>
          </cell>
        </row>
        <row r="3">
          <cell r="M3" t="str">
            <v>WP</v>
          </cell>
          <cell r="N3" t="str">
            <v>WP</v>
          </cell>
          <cell r="O3" t="str">
            <v>WP</v>
          </cell>
          <cell r="P3" t="str">
            <v>WP</v>
          </cell>
          <cell r="Q3" t="str">
            <v>WP</v>
          </cell>
          <cell r="R3" t="str">
            <v>WP</v>
          </cell>
          <cell r="S3" t="str">
            <v>WP</v>
          </cell>
          <cell r="T3" t="str">
            <v>WP</v>
          </cell>
          <cell r="U3" t="str">
            <v>WP</v>
          </cell>
          <cell r="V3" t="str">
            <v>WP</v>
          </cell>
          <cell r="W3" t="str">
            <v>WP</v>
          </cell>
          <cell r="X3" t="str">
            <v>WP</v>
          </cell>
          <cell r="Y3" t="str">
            <v>WP</v>
          </cell>
          <cell r="Z3" t="str">
            <v>WP</v>
          </cell>
          <cell r="AA3" t="str">
            <v>WP</v>
          </cell>
          <cell r="AB3" t="str">
            <v>WP</v>
          </cell>
          <cell r="AC3" t="str">
            <v>WP</v>
          </cell>
          <cell r="AD3" t="str">
            <v>WP</v>
          </cell>
          <cell r="AE3" t="str">
            <v>WP</v>
          </cell>
          <cell r="AF3" t="str">
            <v>WP</v>
          </cell>
          <cell r="AG3" t="str">
            <v>WP</v>
          </cell>
          <cell r="AH3" t="str">
            <v>WP</v>
          </cell>
          <cell r="AI3" t="str">
            <v>WP</v>
          </cell>
          <cell r="AJ3" t="str">
            <v>WP</v>
          </cell>
          <cell r="AK3" t="str">
            <v>WP</v>
          </cell>
          <cell r="AL3" t="str">
            <v>WP</v>
          </cell>
          <cell r="AM3" t="str">
            <v>WP</v>
          </cell>
          <cell r="AN3" t="str">
            <v>WP</v>
          </cell>
          <cell r="AO3" t="str">
            <v>WP</v>
          </cell>
          <cell r="AP3" t="str">
            <v>WP</v>
          </cell>
          <cell r="AQ3" t="str">
            <v>WP</v>
          </cell>
          <cell r="AR3" t="str">
            <v>WP</v>
          </cell>
          <cell r="AS3" t="str">
            <v>WP</v>
          </cell>
          <cell r="AT3" t="str">
            <v>WP</v>
          </cell>
          <cell r="AU3" t="str">
            <v>WP</v>
          </cell>
          <cell r="AV3" t="str">
            <v>WP</v>
          </cell>
          <cell r="AW3" t="str">
            <v>WP</v>
          </cell>
          <cell r="AX3" t="str">
            <v>WP</v>
          </cell>
          <cell r="AY3" t="str">
            <v>WP</v>
          </cell>
          <cell r="AZ3" t="str">
            <v>WP</v>
          </cell>
          <cell r="BA3" t="str">
            <v>WP</v>
          </cell>
          <cell r="BB3" t="str">
            <v>WP</v>
          </cell>
          <cell r="BC3" t="str">
            <v>WP</v>
          </cell>
          <cell r="BD3" t="str">
            <v>WP</v>
          </cell>
          <cell r="BE3" t="str">
            <v>WP</v>
          </cell>
          <cell r="BF3" t="str">
            <v>WP</v>
          </cell>
          <cell r="BG3" t="str">
            <v>WP</v>
          </cell>
          <cell r="BH3" t="str">
            <v>WP</v>
          </cell>
          <cell r="BI3" t="str">
            <v>WP</v>
          </cell>
          <cell r="BJ3" t="str">
            <v>WP</v>
          </cell>
          <cell r="BK3" t="str">
            <v>WP</v>
          </cell>
          <cell r="BL3" t="str">
            <v>WP</v>
          </cell>
          <cell r="BM3" t="str">
            <v>WP</v>
          </cell>
          <cell r="BN3" t="str">
            <v>WP</v>
          </cell>
          <cell r="BO3" t="str">
            <v>WP</v>
          </cell>
          <cell r="BP3" t="str">
            <v>WP</v>
          </cell>
          <cell r="BQ3" t="str">
            <v>WP</v>
          </cell>
          <cell r="BR3" t="str">
            <v>WP</v>
          </cell>
          <cell r="BS3" t="str">
            <v>WP</v>
          </cell>
          <cell r="BT3" t="str">
            <v>WP</v>
          </cell>
          <cell r="BU3" t="str">
            <v>WP</v>
          </cell>
          <cell r="BV3" t="str">
            <v>WP</v>
          </cell>
          <cell r="BW3" t="str">
            <v>WP</v>
          </cell>
          <cell r="BX3" t="str">
            <v>WP</v>
          </cell>
          <cell r="BY3" t="str">
            <v>WP</v>
          </cell>
          <cell r="BZ3" t="str">
            <v>WP</v>
          </cell>
          <cell r="CA3" t="str">
            <v>WP</v>
          </cell>
          <cell r="CB3" t="str">
            <v>WP</v>
          </cell>
          <cell r="CC3" t="str">
            <v>WP</v>
          </cell>
          <cell r="CD3" t="str">
            <v>WP</v>
          </cell>
          <cell r="CE3" t="str">
            <v>WP</v>
          </cell>
          <cell r="CF3" t="str">
            <v>WP</v>
          </cell>
          <cell r="CG3" t="str">
            <v>WP</v>
          </cell>
          <cell r="CH3" t="str">
            <v>WP</v>
          </cell>
          <cell r="CI3" t="str">
            <v>WP</v>
          </cell>
          <cell r="CJ3" t="str">
            <v>WP</v>
          </cell>
          <cell r="CK3" t="str">
            <v>WP</v>
          </cell>
          <cell r="CL3" t="str">
            <v>WP</v>
          </cell>
          <cell r="CM3" t="str">
            <v>WP</v>
          </cell>
          <cell r="CN3" t="str">
            <v>WP</v>
          </cell>
          <cell r="CO3" t="str">
            <v>WP</v>
          </cell>
          <cell r="CP3" t="str">
            <v>WP</v>
          </cell>
          <cell r="CQ3" t="str">
            <v>WP</v>
          </cell>
          <cell r="CR3" t="str">
            <v>WP</v>
          </cell>
          <cell r="CS3" t="str">
            <v>WP</v>
          </cell>
          <cell r="CT3" t="str">
            <v>WP</v>
          </cell>
          <cell r="CU3" t="str">
            <v>WP</v>
          </cell>
          <cell r="CV3" t="str">
            <v>WP</v>
          </cell>
          <cell r="CW3" t="str">
            <v>WP</v>
          </cell>
          <cell r="CX3" t="str">
            <v>WP</v>
          </cell>
          <cell r="CY3" t="str">
            <v>WP</v>
          </cell>
          <cell r="CZ3" t="str">
            <v>WP</v>
          </cell>
          <cell r="DA3" t="str">
            <v>WP</v>
          </cell>
          <cell r="DB3" t="str">
            <v>WP</v>
          </cell>
          <cell r="DC3" t="str">
            <v>WP</v>
          </cell>
          <cell r="DD3" t="str">
            <v>WP</v>
          </cell>
          <cell r="DE3" t="str">
            <v>WP</v>
          </cell>
          <cell r="DF3" t="str">
            <v>WP</v>
          </cell>
          <cell r="DG3" t="str">
            <v>WP</v>
          </cell>
          <cell r="DH3" t="str">
            <v>WP</v>
          </cell>
          <cell r="DI3" t="str">
            <v>WP</v>
          </cell>
          <cell r="DJ3" t="str">
            <v>WP</v>
          </cell>
          <cell r="DK3" t="str">
            <v>WP</v>
          </cell>
          <cell r="DL3" t="str">
            <v>WP</v>
          </cell>
          <cell r="DM3" t="str">
            <v>WP</v>
          </cell>
          <cell r="DO3" t="str">
            <v>MP</v>
          </cell>
          <cell r="DP3" t="str">
            <v>MP</v>
          </cell>
          <cell r="DQ3" t="str">
            <v>MP</v>
          </cell>
          <cell r="DR3" t="str">
            <v>MP</v>
          </cell>
          <cell r="DS3" t="str">
            <v>MP</v>
          </cell>
          <cell r="DT3" t="str">
            <v>MP</v>
          </cell>
          <cell r="DU3" t="str">
            <v>MP</v>
          </cell>
          <cell r="DV3" t="str">
            <v>MP</v>
          </cell>
          <cell r="DW3" t="str">
            <v>MP</v>
          </cell>
          <cell r="DX3" t="str">
            <v>MP</v>
          </cell>
          <cell r="DY3" t="str">
            <v>MP</v>
          </cell>
          <cell r="DZ3" t="str">
            <v>MP</v>
          </cell>
          <cell r="EA3" t="str">
            <v>MP</v>
          </cell>
          <cell r="EB3" t="str">
            <v>MP</v>
          </cell>
          <cell r="EC3" t="str">
            <v>MP</v>
          </cell>
          <cell r="ED3" t="str">
            <v>MP</v>
          </cell>
          <cell r="EE3" t="str">
            <v>MP</v>
          </cell>
          <cell r="EF3" t="str">
            <v>MP</v>
          </cell>
          <cell r="EG3" t="str">
            <v>MP</v>
          </cell>
          <cell r="EH3" t="str">
            <v>MP</v>
          </cell>
          <cell r="EI3" t="str">
            <v>MP</v>
          </cell>
          <cell r="EJ3" t="str">
            <v>MP</v>
          </cell>
          <cell r="EK3" t="str">
            <v>MP</v>
          </cell>
          <cell r="EL3" t="str">
            <v>MP</v>
          </cell>
          <cell r="EM3" t="str">
            <v>MP</v>
          </cell>
        </row>
        <row r="4">
          <cell r="M4">
            <v>53</v>
          </cell>
          <cell r="N4">
            <v>2</v>
          </cell>
          <cell r="O4">
            <v>3</v>
          </cell>
          <cell r="P4">
            <v>4</v>
          </cell>
          <cell r="Q4">
            <v>5</v>
          </cell>
          <cell r="R4">
            <v>6</v>
          </cell>
          <cell r="S4">
            <v>7</v>
          </cell>
          <cell r="T4">
            <v>8</v>
          </cell>
          <cell r="U4">
            <v>9</v>
          </cell>
          <cell r="V4">
            <v>10</v>
          </cell>
          <cell r="W4">
            <v>11</v>
          </cell>
          <cell r="X4">
            <v>12</v>
          </cell>
          <cell r="Y4">
            <v>13</v>
          </cell>
          <cell r="Z4">
            <v>14</v>
          </cell>
          <cell r="AA4">
            <v>15</v>
          </cell>
          <cell r="AB4">
            <v>16</v>
          </cell>
          <cell r="AC4">
            <v>17</v>
          </cell>
          <cell r="AD4">
            <v>18</v>
          </cell>
          <cell r="AE4">
            <v>19</v>
          </cell>
          <cell r="AF4">
            <v>20</v>
          </cell>
          <cell r="AG4">
            <v>21</v>
          </cell>
          <cell r="AH4">
            <v>22</v>
          </cell>
          <cell r="AI4">
            <v>23</v>
          </cell>
          <cell r="AJ4">
            <v>24</v>
          </cell>
          <cell r="AK4">
            <v>25</v>
          </cell>
          <cell r="AL4">
            <v>26</v>
          </cell>
          <cell r="AM4">
            <v>27</v>
          </cell>
          <cell r="AN4">
            <v>28</v>
          </cell>
          <cell r="AO4">
            <v>29</v>
          </cell>
          <cell r="AP4">
            <v>30</v>
          </cell>
          <cell r="AQ4">
            <v>31</v>
          </cell>
          <cell r="AR4">
            <v>32</v>
          </cell>
          <cell r="AS4">
            <v>33</v>
          </cell>
          <cell r="AT4">
            <v>34</v>
          </cell>
          <cell r="AU4">
            <v>35</v>
          </cell>
          <cell r="AV4">
            <v>36</v>
          </cell>
          <cell r="AW4">
            <v>37</v>
          </cell>
          <cell r="AX4">
            <v>38</v>
          </cell>
          <cell r="AY4">
            <v>39</v>
          </cell>
          <cell r="AZ4">
            <v>40</v>
          </cell>
          <cell r="BA4">
            <v>41</v>
          </cell>
          <cell r="BB4">
            <v>42</v>
          </cell>
          <cell r="BC4">
            <v>43</v>
          </cell>
          <cell r="BD4">
            <v>44</v>
          </cell>
          <cell r="BE4">
            <v>45</v>
          </cell>
          <cell r="BF4">
            <v>46</v>
          </cell>
          <cell r="BG4">
            <v>47</v>
          </cell>
          <cell r="BH4">
            <v>48</v>
          </cell>
          <cell r="BI4">
            <v>49</v>
          </cell>
          <cell r="BJ4">
            <v>50</v>
          </cell>
          <cell r="BK4">
            <v>51</v>
          </cell>
          <cell r="BL4">
            <v>52</v>
          </cell>
          <cell r="BM4">
            <v>53</v>
          </cell>
          <cell r="BN4">
            <v>1</v>
          </cell>
          <cell r="BO4">
            <v>2</v>
          </cell>
          <cell r="BP4">
            <v>3</v>
          </cell>
          <cell r="BQ4">
            <v>4</v>
          </cell>
          <cell r="BR4">
            <v>5</v>
          </cell>
          <cell r="BS4">
            <v>6</v>
          </cell>
          <cell r="BT4">
            <v>7</v>
          </cell>
          <cell r="BU4">
            <v>8</v>
          </cell>
          <cell r="BV4">
            <v>9</v>
          </cell>
          <cell r="BW4">
            <v>10</v>
          </cell>
          <cell r="BX4">
            <v>11</v>
          </cell>
          <cell r="BY4">
            <v>12</v>
          </cell>
          <cell r="BZ4">
            <v>13</v>
          </cell>
          <cell r="CA4">
            <v>14</v>
          </cell>
          <cell r="CB4">
            <v>15</v>
          </cell>
          <cell r="CC4">
            <v>16</v>
          </cell>
          <cell r="CD4">
            <v>17</v>
          </cell>
          <cell r="CE4">
            <v>18</v>
          </cell>
          <cell r="CF4">
            <v>19</v>
          </cell>
          <cell r="CG4">
            <v>20</v>
          </cell>
          <cell r="CH4">
            <v>21</v>
          </cell>
          <cell r="CI4">
            <v>22</v>
          </cell>
          <cell r="CJ4">
            <v>23</v>
          </cell>
          <cell r="CK4">
            <v>24</v>
          </cell>
          <cell r="CL4">
            <v>25</v>
          </cell>
          <cell r="CM4">
            <v>26</v>
          </cell>
          <cell r="CN4">
            <v>27</v>
          </cell>
          <cell r="CO4">
            <v>28</v>
          </cell>
          <cell r="CP4">
            <v>29</v>
          </cell>
          <cell r="CQ4">
            <v>30</v>
          </cell>
          <cell r="CR4">
            <v>31</v>
          </cell>
          <cell r="CS4">
            <v>32</v>
          </cell>
          <cell r="CT4">
            <v>33</v>
          </cell>
          <cell r="CU4">
            <v>34</v>
          </cell>
          <cell r="CV4">
            <v>35</v>
          </cell>
          <cell r="CW4">
            <v>36</v>
          </cell>
          <cell r="CX4">
            <v>37</v>
          </cell>
          <cell r="CY4">
            <v>38</v>
          </cell>
          <cell r="CZ4">
            <v>39</v>
          </cell>
          <cell r="DA4">
            <v>40</v>
          </cell>
          <cell r="DB4">
            <v>41</v>
          </cell>
          <cell r="DC4">
            <v>42</v>
          </cell>
          <cell r="DD4">
            <v>43</v>
          </cell>
          <cell r="DE4">
            <v>44</v>
          </cell>
          <cell r="DF4">
            <v>45</v>
          </cell>
          <cell r="DG4">
            <v>46</v>
          </cell>
          <cell r="DH4">
            <v>47</v>
          </cell>
          <cell r="DI4">
            <v>48</v>
          </cell>
          <cell r="DJ4">
            <v>49</v>
          </cell>
          <cell r="DK4">
            <v>50</v>
          </cell>
          <cell r="DL4">
            <v>51</v>
          </cell>
          <cell r="DM4">
            <v>52</v>
          </cell>
          <cell r="DO4" t="str">
            <v>NA</v>
          </cell>
          <cell r="DP4" t="str">
            <v>NA</v>
          </cell>
          <cell r="DQ4" t="str">
            <v>NA</v>
          </cell>
          <cell r="DR4">
            <v>1</v>
          </cell>
          <cell r="DS4">
            <v>2</v>
          </cell>
          <cell r="DT4">
            <v>3</v>
          </cell>
          <cell r="DU4">
            <v>4</v>
          </cell>
          <cell r="DV4">
            <v>5</v>
          </cell>
          <cell r="DW4">
            <v>6</v>
          </cell>
          <cell r="DX4">
            <v>7</v>
          </cell>
          <cell r="DY4">
            <v>8</v>
          </cell>
          <cell r="DZ4">
            <v>9</v>
          </cell>
          <cell r="EA4">
            <v>10</v>
          </cell>
          <cell r="EB4">
            <v>11</v>
          </cell>
          <cell r="EC4">
            <v>12</v>
          </cell>
          <cell r="ED4">
            <v>13</v>
          </cell>
          <cell r="EE4">
            <v>14</v>
          </cell>
          <cell r="EF4">
            <v>15</v>
          </cell>
          <cell r="EG4">
            <v>16</v>
          </cell>
          <cell r="EH4">
            <v>17</v>
          </cell>
          <cell r="EI4">
            <v>18</v>
          </cell>
          <cell r="EJ4">
            <v>19</v>
          </cell>
          <cell r="EK4">
            <v>20</v>
          </cell>
          <cell r="EL4">
            <v>21</v>
          </cell>
          <cell r="EM4">
            <v>22</v>
          </cell>
        </row>
        <row r="5">
          <cell r="DU5">
            <v>0</v>
          </cell>
          <cell r="DV5">
            <v>0</v>
          </cell>
          <cell r="DW5">
            <v>0</v>
          </cell>
        </row>
        <row r="6">
          <cell r="DU6">
            <v>0</v>
          </cell>
          <cell r="DV6">
            <v>0</v>
          </cell>
          <cell r="DW6">
            <v>0</v>
          </cell>
        </row>
        <row r="7">
          <cell r="DU7">
            <v>0</v>
          </cell>
          <cell r="DV7">
            <v>0</v>
          </cell>
          <cell r="DW7">
            <v>0</v>
          </cell>
        </row>
        <row r="8">
          <cell r="DU8">
            <v>0</v>
          </cell>
          <cell r="DV8">
            <v>0</v>
          </cell>
          <cell r="DW8">
            <v>0</v>
          </cell>
        </row>
        <row r="9">
          <cell r="DU9">
            <v>0</v>
          </cell>
          <cell r="DV9">
            <v>0</v>
          </cell>
          <cell r="DW9">
            <v>0</v>
          </cell>
        </row>
        <row r="10">
          <cell r="DU10">
            <v>0</v>
          </cell>
          <cell r="DV10">
            <v>0</v>
          </cell>
          <cell r="DW10">
            <v>0</v>
          </cell>
        </row>
        <row r="11">
          <cell r="DU11">
            <v>0</v>
          </cell>
          <cell r="DV11">
            <v>0</v>
          </cell>
          <cell r="DW11">
            <v>0</v>
          </cell>
        </row>
        <row r="12">
          <cell r="DU12">
            <v>0</v>
          </cell>
          <cell r="DV12">
            <v>0</v>
          </cell>
          <cell r="DW12">
            <v>0</v>
          </cell>
        </row>
        <row r="13">
          <cell r="DU13">
            <v>0</v>
          </cell>
          <cell r="DV13">
            <v>0</v>
          </cell>
          <cell r="DW13">
            <v>0</v>
          </cell>
        </row>
        <row r="14">
          <cell r="DU14">
            <v>0</v>
          </cell>
          <cell r="DV14">
            <v>0</v>
          </cell>
          <cell r="DW14">
            <v>0</v>
          </cell>
        </row>
        <row r="15">
          <cell r="DU15">
            <v>0</v>
          </cell>
          <cell r="DV15">
            <v>0</v>
          </cell>
          <cell r="DW15">
            <v>0</v>
          </cell>
        </row>
        <row r="18">
          <cell r="DU18">
            <v>0</v>
          </cell>
          <cell r="DV18">
            <v>0</v>
          </cell>
          <cell r="DW18">
            <v>0</v>
          </cell>
        </row>
        <row r="19">
          <cell r="DU19">
            <v>0</v>
          </cell>
          <cell r="DV19">
            <v>0</v>
          </cell>
          <cell r="DW19">
            <v>0</v>
          </cell>
        </row>
        <row r="20">
          <cell r="DU20">
            <v>0</v>
          </cell>
          <cell r="DV20">
            <v>0</v>
          </cell>
          <cell r="DW20">
            <v>0</v>
          </cell>
        </row>
        <row r="21">
          <cell r="DU21">
            <v>0</v>
          </cell>
          <cell r="DV21">
            <v>0</v>
          </cell>
          <cell r="DW21">
            <v>0</v>
          </cell>
        </row>
        <row r="22">
          <cell r="DU22">
            <v>0</v>
          </cell>
          <cell r="DV22">
            <v>0</v>
          </cell>
          <cell r="DW22">
            <v>0</v>
          </cell>
        </row>
        <row r="23">
          <cell r="DU23">
            <v>0</v>
          </cell>
          <cell r="DV23">
            <v>0</v>
          </cell>
          <cell r="DW23">
            <v>0</v>
          </cell>
        </row>
        <row r="26">
          <cell r="DU26">
            <v>0</v>
          </cell>
          <cell r="DV26">
            <v>0</v>
          </cell>
          <cell r="DW26">
            <v>0</v>
          </cell>
        </row>
        <row r="27">
          <cell r="DU27">
            <v>0</v>
          </cell>
          <cell r="DV27">
            <v>0</v>
          </cell>
          <cell r="DW27">
            <v>0</v>
          </cell>
        </row>
        <row r="28">
          <cell r="DU28">
            <v>0</v>
          </cell>
          <cell r="DV28">
            <v>0</v>
          </cell>
          <cell r="DW28">
            <v>0</v>
          </cell>
        </row>
        <row r="29">
          <cell r="DU29">
            <v>0</v>
          </cell>
          <cell r="DV29">
            <v>0</v>
          </cell>
          <cell r="DW29">
            <v>0</v>
          </cell>
        </row>
        <row r="30">
          <cell r="DU30">
            <v>0</v>
          </cell>
          <cell r="DV30">
            <v>0</v>
          </cell>
          <cell r="DW30">
            <v>0</v>
          </cell>
        </row>
        <row r="31">
          <cell r="DU31">
            <v>0</v>
          </cell>
          <cell r="DV31">
            <v>0</v>
          </cell>
          <cell r="DW31">
            <v>0</v>
          </cell>
        </row>
        <row r="32">
          <cell r="DU32">
            <v>0</v>
          </cell>
          <cell r="DV32">
            <v>0</v>
          </cell>
          <cell r="DW32">
            <v>0</v>
          </cell>
        </row>
        <row r="33">
          <cell r="DU33">
            <v>0</v>
          </cell>
          <cell r="DV33">
            <v>0</v>
          </cell>
          <cell r="DW33">
            <v>0</v>
          </cell>
        </row>
        <row r="34">
          <cell r="DU34">
            <v>0</v>
          </cell>
          <cell r="DV34">
            <v>0</v>
          </cell>
          <cell r="DW34">
            <v>0</v>
          </cell>
        </row>
        <row r="35">
          <cell r="DU35">
            <v>0</v>
          </cell>
          <cell r="DV35">
            <v>0</v>
          </cell>
          <cell r="DW35">
            <v>0</v>
          </cell>
        </row>
        <row r="37">
          <cell r="DU37">
            <v>4.68</v>
          </cell>
          <cell r="DV37">
            <v>5.68</v>
          </cell>
          <cell r="DW37">
            <v>6.68</v>
          </cell>
        </row>
        <row r="38">
          <cell r="DU38">
            <v>0</v>
          </cell>
          <cell r="DV38">
            <v>0</v>
          </cell>
          <cell r="DW38">
            <v>0</v>
          </cell>
        </row>
        <row r="39">
          <cell r="DU39">
            <v>0</v>
          </cell>
          <cell r="DV39">
            <v>0</v>
          </cell>
          <cell r="DW39">
            <v>0</v>
          </cell>
        </row>
        <row r="40">
          <cell r="DU40">
            <v>0</v>
          </cell>
          <cell r="DV40">
            <v>0</v>
          </cell>
          <cell r="DW40">
            <v>0</v>
          </cell>
        </row>
        <row r="41">
          <cell r="DU41">
            <v>0</v>
          </cell>
          <cell r="DV41">
            <v>0</v>
          </cell>
          <cell r="DW41">
            <v>0</v>
          </cell>
        </row>
        <row r="42">
          <cell r="DU42">
            <v>0</v>
          </cell>
          <cell r="DV42">
            <v>0</v>
          </cell>
          <cell r="DW42">
            <v>0</v>
          </cell>
        </row>
        <row r="43">
          <cell r="DU43">
            <v>0</v>
          </cell>
          <cell r="DV43">
            <v>0</v>
          </cell>
          <cell r="DW43">
            <v>0</v>
          </cell>
        </row>
        <row r="46">
          <cell r="DU46">
            <v>0</v>
          </cell>
          <cell r="DV46">
            <v>0</v>
          </cell>
          <cell r="DW46">
            <v>0</v>
          </cell>
        </row>
        <row r="47">
          <cell r="DU47">
            <v>0</v>
          </cell>
          <cell r="DV47">
            <v>0</v>
          </cell>
          <cell r="DW47">
            <v>0</v>
          </cell>
        </row>
        <row r="48">
          <cell r="DU48">
            <v>0</v>
          </cell>
          <cell r="DV48">
            <v>0</v>
          </cell>
          <cell r="DW48">
            <v>0</v>
          </cell>
        </row>
        <row r="51">
          <cell r="DU51">
            <v>0</v>
          </cell>
          <cell r="DV51">
            <v>0</v>
          </cell>
          <cell r="DW51">
            <v>0</v>
          </cell>
        </row>
        <row r="52">
          <cell r="DU52">
            <v>0</v>
          </cell>
          <cell r="DV52">
            <v>0</v>
          </cell>
          <cell r="DW52">
            <v>0</v>
          </cell>
        </row>
        <row r="53">
          <cell r="DU53">
            <v>0</v>
          </cell>
          <cell r="DV53">
            <v>0</v>
          </cell>
          <cell r="DW53">
            <v>0</v>
          </cell>
        </row>
        <row r="54">
          <cell r="DU54">
            <v>0</v>
          </cell>
          <cell r="DV54">
            <v>0</v>
          </cell>
          <cell r="DW54">
            <v>0</v>
          </cell>
        </row>
        <row r="55">
          <cell r="DU55">
            <v>0</v>
          </cell>
          <cell r="DV55">
            <v>0</v>
          </cell>
          <cell r="DW55">
            <v>0</v>
          </cell>
        </row>
        <row r="56">
          <cell r="DU56">
            <v>0</v>
          </cell>
          <cell r="DV56">
            <v>0</v>
          </cell>
          <cell r="DW56">
            <v>0</v>
          </cell>
        </row>
        <row r="57">
          <cell r="DU57">
            <v>0</v>
          </cell>
          <cell r="DV57">
            <v>0</v>
          </cell>
          <cell r="DW57">
            <v>0</v>
          </cell>
        </row>
        <row r="58">
          <cell r="DU58">
            <v>0</v>
          </cell>
          <cell r="DV58">
            <v>0</v>
          </cell>
          <cell r="DW58">
            <v>0</v>
          </cell>
        </row>
        <row r="59">
          <cell r="DU59">
            <v>0</v>
          </cell>
          <cell r="DV59">
            <v>0</v>
          </cell>
          <cell r="DW59">
            <v>0</v>
          </cell>
        </row>
        <row r="60">
          <cell r="DU60">
            <v>0</v>
          </cell>
          <cell r="DV60">
            <v>0</v>
          </cell>
          <cell r="DW60">
            <v>0</v>
          </cell>
        </row>
        <row r="62">
          <cell r="DU62">
            <v>0</v>
          </cell>
          <cell r="DV62">
            <v>0</v>
          </cell>
          <cell r="DW62">
            <v>1217.1889999999999</v>
          </cell>
        </row>
        <row r="64">
          <cell r="DU64">
            <v>0</v>
          </cell>
          <cell r="DV64">
            <v>0</v>
          </cell>
          <cell r="DW64">
            <v>25</v>
          </cell>
        </row>
        <row r="65">
          <cell r="DU65">
            <v>0</v>
          </cell>
          <cell r="DV65">
            <v>0</v>
          </cell>
          <cell r="DW65">
            <v>10</v>
          </cell>
        </row>
        <row r="66">
          <cell r="DU66">
            <v>0</v>
          </cell>
          <cell r="DV66">
            <v>0</v>
          </cell>
          <cell r="DW66">
            <v>0</v>
          </cell>
        </row>
        <row r="68">
          <cell r="DU68">
            <v>0</v>
          </cell>
          <cell r="DV68">
            <v>0</v>
          </cell>
          <cell r="DW68">
            <v>0</v>
          </cell>
        </row>
        <row r="69">
          <cell r="DU69">
            <v>0</v>
          </cell>
          <cell r="DV69">
            <v>0</v>
          </cell>
          <cell r="DW69">
            <v>0</v>
          </cell>
        </row>
        <row r="70">
          <cell r="DU70">
            <v>0</v>
          </cell>
          <cell r="DV70">
            <v>0</v>
          </cell>
          <cell r="DW70">
            <v>0</v>
          </cell>
        </row>
        <row r="72">
          <cell r="DU72">
            <v>0</v>
          </cell>
          <cell r="DV72">
            <v>0</v>
          </cell>
          <cell r="DW72">
            <v>11</v>
          </cell>
        </row>
        <row r="73">
          <cell r="DU73">
            <v>0</v>
          </cell>
          <cell r="DV73">
            <v>2</v>
          </cell>
          <cell r="DW73">
            <v>4</v>
          </cell>
        </row>
        <row r="74">
          <cell r="DU74">
            <v>1</v>
          </cell>
          <cell r="DV74">
            <v>2</v>
          </cell>
          <cell r="DW74">
            <v>3</v>
          </cell>
        </row>
        <row r="77">
          <cell r="DU77">
            <v>5.3999999999999999E-2</v>
          </cell>
          <cell r="DV77">
            <v>5.3999999999999999E-2</v>
          </cell>
          <cell r="DW77">
            <v>11.311</v>
          </cell>
        </row>
        <row r="78">
          <cell r="DU78">
            <v>31.187000000000001</v>
          </cell>
          <cell r="DV78">
            <v>31.187000000000001</v>
          </cell>
          <cell r="DW78">
            <v>82.207000000000008</v>
          </cell>
        </row>
        <row r="79">
          <cell r="DU79">
            <v>50.338999999999999</v>
          </cell>
          <cell r="DV79">
            <v>50.338999999999999</v>
          </cell>
          <cell r="DW79">
            <v>52.698</v>
          </cell>
        </row>
        <row r="80">
          <cell r="DU80">
            <v>11.245000000000001</v>
          </cell>
          <cell r="DV80">
            <v>11.245000000000001</v>
          </cell>
          <cell r="DW80">
            <v>11.245000000000001</v>
          </cell>
        </row>
        <row r="81">
          <cell r="DU81">
            <v>0</v>
          </cell>
          <cell r="DV81">
            <v>55.7</v>
          </cell>
          <cell r="DW81">
            <v>270.39999999999998</v>
          </cell>
        </row>
        <row r="82">
          <cell r="DU82">
            <v>0</v>
          </cell>
          <cell r="DV82">
            <v>0</v>
          </cell>
          <cell r="DW82">
            <v>0</v>
          </cell>
        </row>
        <row r="85">
          <cell r="DU85">
            <v>0</v>
          </cell>
          <cell r="DV85">
            <v>0</v>
          </cell>
          <cell r="DW85">
            <v>0</v>
          </cell>
        </row>
        <row r="86">
          <cell r="DU86">
            <v>0</v>
          </cell>
          <cell r="DV86">
            <v>0</v>
          </cell>
          <cell r="DW86">
            <v>0</v>
          </cell>
        </row>
        <row r="87">
          <cell r="DU87">
            <v>0</v>
          </cell>
          <cell r="DV87">
            <v>0</v>
          </cell>
          <cell r="DW87">
            <v>0</v>
          </cell>
        </row>
        <row r="88">
          <cell r="DU88">
            <v>0</v>
          </cell>
          <cell r="DV88">
            <v>0</v>
          </cell>
          <cell r="DW88">
            <v>3303.3390000000004</v>
          </cell>
        </row>
        <row r="89">
          <cell r="DU89">
            <v>0</v>
          </cell>
          <cell r="DV89">
            <v>0</v>
          </cell>
          <cell r="DW89">
            <v>0</v>
          </cell>
        </row>
        <row r="90">
          <cell r="DU90">
            <v>0.97</v>
          </cell>
          <cell r="DV90">
            <v>0.97099999999999997</v>
          </cell>
          <cell r="DW90">
            <v>0.97099999999999997</v>
          </cell>
        </row>
        <row r="91">
          <cell r="DU91">
            <v>0</v>
          </cell>
          <cell r="DV91">
            <v>0</v>
          </cell>
          <cell r="DW91">
            <v>0</v>
          </cell>
        </row>
        <row r="94">
          <cell r="DU94">
            <v>0</v>
          </cell>
          <cell r="DV94">
            <v>0</v>
          </cell>
          <cell r="DW94">
            <v>0</v>
          </cell>
        </row>
        <row r="95">
          <cell r="DU95">
            <v>128.93299999999999</v>
          </cell>
          <cell r="DV95">
            <v>157.435</v>
          </cell>
          <cell r="DW95">
            <v>267.05700000000002</v>
          </cell>
        </row>
        <row r="96">
          <cell r="DU96">
            <v>0</v>
          </cell>
          <cell r="DV96">
            <v>0</v>
          </cell>
          <cell r="DW96">
            <v>0</v>
          </cell>
        </row>
        <row r="97">
          <cell r="DU97">
            <v>9.5749999999999993</v>
          </cell>
          <cell r="DV97">
            <v>9.5749999999999993</v>
          </cell>
          <cell r="DW97">
            <v>9.5749999999999993</v>
          </cell>
        </row>
        <row r="100">
          <cell r="DU100">
            <v>0</v>
          </cell>
          <cell r="DV100">
            <v>0</v>
          </cell>
          <cell r="DW100">
            <v>16589.780999999999</v>
          </cell>
        </row>
        <row r="101">
          <cell r="DU101">
            <v>0</v>
          </cell>
          <cell r="DV101">
            <v>0</v>
          </cell>
          <cell r="DW101">
            <v>0</v>
          </cell>
        </row>
        <row r="102">
          <cell r="DU102">
            <v>0</v>
          </cell>
          <cell r="DV102">
            <v>0</v>
          </cell>
          <cell r="DW102">
            <v>0</v>
          </cell>
        </row>
        <row r="103">
          <cell r="DU103">
            <v>0</v>
          </cell>
          <cell r="DV103">
            <v>0</v>
          </cell>
          <cell r="DW103">
            <v>0</v>
          </cell>
        </row>
        <row r="104">
          <cell r="DU104">
            <v>0</v>
          </cell>
          <cell r="DV104">
            <v>0</v>
          </cell>
          <cell r="DW104">
            <v>327.29000000000002</v>
          </cell>
        </row>
        <row r="107">
          <cell r="DU107">
            <v>0</v>
          </cell>
          <cell r="DV107">
            <v>0</v>
          </cell>
          <cell r="DW107">
            <v>0</v>
          </cell>
        </row>
        <row r="108">
          <cell r="DU108">
            <v>0</v>
          </cell>
          <cell r="DV108">
            <v>0</v>
          </cell>
          <cell r="DW108">
            <v>0</v>
          </cell>
        </row>
        <row r="109">
          <cell r="DU109">
            <v>0</v>
          </cell>
          <cell r="DV109">
            <v>0</v>
          </cell>
          <cell r="DW109">
            <v>0</v>
          </cell>
        </row>
        <row r="110">
          <cell r="DU110">
            <v>0</v>
          </cell>
          <cell r="DV110">
            <v>0</v>
          </cell>
          <cell r="DW110">
            <v>0</v>
          </cell>
        </row>
        <row r="113">
          <cell r="DU113">
            <v>0</v>
          </cell>
          <cell r="DV113">
            <v>0</v>
          </cell>
          <cell r="DW113">
            <v>1736.2650000000001</v>
          </cell>
        </row>
        <row r="114">
          <cell r="DU114">
            <v>0</v>
          </cell>
          <cell r="DV114">
            <v>0</v>
          </cell>
          <cell r="DW114">
            <v>0</v>
          </cell>
        </row>
        <row r="115">
          <cell r="DU115">
            <v>0</v>
          </cell>
          <cell r="DV115">
            <v>0</v>
          </cell>
          <cell r="DW115">
            <v>0</v>
          </cell>
        </row>
        <row r="116">
          <cell r="DU116">
            <v>0</v>
          </cell>
          <cell r="DV116">
            <v>0</v>
          </cell>
          <cell r="DW116">
            <v>853.96</v>
          </cell>
        </row>
        <row r="119">
          <cell r="DU119">
            <v>0</v>
          </cell>
          <cell r="DV119">
            <v>0</v>
          </cell>
          <cell r="DW119">
            <v>0</v>
          </cell>
        </row>
        <row r="122">
          <cell r="DU122">
            <v>0</v>
          </cell>
          <cell r="DV122">
            <v>0</v>
          </cell>
          <cell r="DW122">
            <v>263.83499999999998</v>
          </cell>
        </row>
        <row r="123">
          <cell r="DU123">
            <v>0</v>
          </cell>
          <cell r="DV123">
            <v>0</v>
          </cell>
          <cell r="DW123">
            <v>0</v>
          </cell>
        </row>
        <row r="124">
          <cell r="DU124">
            <v>0</v>
          </cell>
          <cell r="DV124">
            <v>0</v>
          </cell>
          <cell r="DW124">
            <v>0</v>
          </cell>
        </row>
        <row r="125">
          <cell r="DU125">
            <v>0</v>
          </cell>
          <cell r="DV125">
            <v>0</v>
          </cell>
          <cell r="DW125">
            <v>0</v>
          </cell>
        </row>
        <row r="126">
          <cell r="DU126">
            <v>0</v>
          </cell>
          <cell r="DV126">
            <v>0</v>
          </cell>
          <cell r="DW126">
            <v>0</v>
          </cell>
        </row>
        <row r="127">
          <cell r="DU127">
            <v>0</v>
          </cell>
          <cell r="DV127">
            <v>0</v>
          </cell>
          <cell r="DW127">
            <v>0</v>
          </cell>
        </row>
        <row r="128">
          <cell r="DU128">
            <v>0</v>
          </cell>
          <cell r="DV128">
            <v>0</v>
          </cell>
          <cell r="DW128">
            <v>0</v>
          </cell>
        </row>
        <row r="131">
          <cell r="DU131">
            <v>0</v>
          </cell>
          <cell r="DV131">
            <v>0</v>
          </cell>
          <cell r="DW131">
            <v>0</v>
          </cell>
        </row>
        <row r="132">
          <cell r="DU132">
            <v>0</v>
          </cell>
          <cell r="DV132">
            <v>0</v>
          </cell>
          <cell r="DW132">
            <v>0</v>
          </cell>
        </row>
        <row r="133">
          <cell r="DU133">
            <v>0</v>
          </cell>
          <cell r="DV133">
            <v>0</v>
          </cell>
          <cell r="DW133">
            <v>0</v>
          </cell>
        </row>
        <row r="134">
          <cell r="DU134">
            <v>0</v>
          </cell>
          <cell r="DV134">
            <v>0</v>
          </cell>
          <cell r="DW134">
            <v>0</v>
          </cell>
        </row>
        <row r="137">
          <cell r="DU137">
            <v>0</v>
          </cell>
          <cell r="DV137">
            <v>0</v>
          </cell>
          <cell r="DW137">
            <v>0</v>
          </cell>
        </row>
        <row r="138">
          <cell r="DU138">
            <v>0</v>
          </cell>
          <cell r="DV138">
            <v>0</v>
          </cell>
          <cell r="DW138">
            <v>0</v>
          </cell>
        </row>
        <row r="139">
          <cell r="DU139">
            <v>0</v>
          </cell>
          <cell r="DV139">
            <v>0</v>
          </cell>
          <cell r="DW139">
            <v>0</v>
          </cell>
        </row>
        <row r="140">
          <cell r="DU140">
            <v>0</v>
          </cell>
          <cell r="DV140">
            <v>0</v>
          </cell>
          <cell r="DW140">
            <v>0</v>
          </cell>
        </row>
        <row r="141">
          <cell r="DU141">
            <v>0</v>
          </cell>
          <cell r="DV141">
            <v>0</v>
          </cell>
          <cell r="DW141">
            <v>0</v>
          </cell>
        </row>
        <row r="142">
          <cell r="DU142">
            <v>0</v>
          </cell>
          <cell r="DV142">
            <v>0</v>
          </cell>
          <cell r="DW142">
            <v>0</v>
          </cell>
        </row>
        <row r="146">
          <cell r="DU146">
            <v>0</v>
          </cell>
          <cell r="DV146">
            <v>0</v>
          </cell>
          <cell r="DW146">
            <v>0</v>
          </cell>
        </row>
        <row r="147">
          <cell r="DU147">
            <v>0</v>
          </cell>
          <cell r="DV147">
            <v>0</v>
          </cell>
          <cell r="DW147">
            <v>0</v>
          </cell>
        </row>
        <row r="148">
          <cell r="DU148">
            <v>0</v>
          </cell>
          <cell r="DV148">
            <v>0</v>
          </cell>
          <cell r="DW148">
            <v>0</v>
          </cell>
        </row>
        <row r="149">
          <cell r="DU149">
            <v>0</v>
          </cell>
          <cell r="DV149">
            <v>0</v>
          </cell>
          <cell r="DW149">
            <v>0</v>
          </cell>
        </row>
        <row r="151">
          <cell r="DU151">
            <v>0</v>
          </cell>
          <cell r="DV151">
            <v>0</v>
          </cell>
          <cell r="DW151">
            <v>0</v>
          </cell>
        </row>
        <row r="152">
          <cell r="DU152">
            <v>0</v>
          </cell>
          <cell r="DV152">
            <v>0</v>
          </cell>
          <cell r="DW152">
            <v>0</v>
          </cell>
        </row>
        <row r="153">
          <cell r="DU153">
            <v>0</v>
          </cell>
          <cell r="DV153">
            <v>0</v>
          </cell>
          <cell r="DW153">
            <v>0</v>
          </cell>
        </row>
        <row r="155">
          <cell r="DU155">
            <v>0</v>
          </cell>
          <cell r="DV155">
            <v>0</v>
          </cell>
          <cell r="DW155">
            <v>0</v>
          </cell>
        </row>
        <row r="156">
          <cell r="DU156">
            <v>0</v>
          </cell>
          <cell r="DV156">
            <v>0</v>
          </cell>
          <cell r="DW156">
            <v>0</v>
          </cell>
        </row>
        <row r="159">
          <cell r="DU159">
            <v>0</v>
          </cell>
          <cell r="DV159">
            <v>0</v>
          </cell>
          <cell r="DW159">
            <v>0</v>
          </cell>
        </row>
        <row r="160">
          <cell r="DU160">
            <v>0</v>
          </cell>
          <cell r="DV160">
            <v>0</v>
          </cell>
          <cell r="DW160">
            <v>0</v>
          </cell>
        </row>
        <row r="161">
          <cell r="DU161">
            <v>0</v>
          </cell>
          <cell r="DV161">
            <v>0</v>
          </cell>
          <cell r="DW161">
            <v>0</v>
          </cell>
        </row>
        <row r="164">
          <cell r="DU164">
            <v>0</v>
          </cell>
          <cell r="DV164">
            <v>0</v>
          </cell>
          <cell r="DW164">
            <v>0</v>
          </cell>
        </row>
        <row r="167">
          <cell r="DU167">
            <v>0</v>
          </cell>
          <cell r="DV167">
            <v>0</v>
          </cell>
          <cell r="DW167">
            <v>0</v>
          </cell>
        </row>
        <row r="170">
          <cell r="DU170">
            <v>0</v>
          </cell>
          <cell r="DV170">
            <v>0</v>
          </cell>
          <cell r="DW170">
            <v>0</v>
          </cell>
        </row>
        <row r="173">
          <cell r="DU173">
            <v>0</v>
          </cell>
          <cell r="DV173">
            <v>0</v>
          </cell>
          <cell r="DW173">
            <v>0</v>
          </cell>
        </row>
        <row r="174">
          <cell r="DU174">
            <v>0</v>
          </cell>
          <cell r="DV174">
            <v>0</v>
          </cell>
          <cell r="DW174">
            <v>0</v>
          </cell>
        </row>
        <row r="178">
          <cell r="DU178">
            <v>0</v>
          </cell>
          <cell r="DV178">
            <v>1.958</v>
          </cell>
          <cell r="DW178">
            <v>67.631</v>
          </cell>
        </row>
        <row r="179">
          <cell r="DU179">
            <v>0</v>
          </cell>
          <cell r="DV179">
            <v>0</v>
          </cell>
          <cell r="DW179">
            <v>0</v>
          </cell>
        </row>
        <row r="180">
          <cell r="DU180">
            <v>0</v>
          </cell>
          <cell r="DV180">
            <v>0</v>
          </cell>
          <cell r="DW180">
            <v>0</v>
          </cell>
        </row>
        <row r="181">
          <cell r="DU181">
            <v>0</v>
          </cell>
          <cell r="DV181">
            <v>0</v>
          </cell>
          <cell r="DW181">
            <v>0</v>
          </cell>
        </row>
        <row r="182">
          <cell r="DU182">
            <v>0</v>
          </cell>
          <cell r="DV182">
            <v>0</v>
          </cell>
          <cell r="DW182">
            <v>0</v>
          </cell>
        </row>
        <row r="184">
          <cell r="DU184">
            <v>0</v>
          </cell>
          <cell r="DV184">
            <v>0</v>
          </cell>
          <cell r="DW184">
            <v>0</v>
          </cell>
        </row>
        <row r="185">
          <cell r="DU185">
            <v>0</v>
          </cell>
          <cell r="DV185">
            <v>20.28</v>
          </cell>
          <cell r="DW185">
            <v>276.15700000000004</v>
          </cell>
        </row>
        <row r="186">
          <cell r="DU186">
            <v>0</v>
          </cell>
          <cell r="DV186">
            <v>0</v>
          </cell>
          <cell r="DW186">
            <v>0</v>
          </cell>
        </row>
        <row r="187">
          <cell r="DU187">
            <v>0</v>
          </cell>
          <cell r="DV187">
            <v>0</v>
          </cell>
          <cell r="DW187">
            <v>0</v>
          </cell>
        </row>
        <row r="188">
          <cell r="DU188">
            <v>0</v>
          </cell>
          <cell r="DV188">
            <v>0</v>
          </cell>
          <cell r="DW188">
            <v>0</v>
          </cell>
        </row>
        <row r="189">
          <cell r="DU189">
            <v>0</v>
          </cell>
          <cell r="DV189">
            <v>0</v>
          </cell>
          <cell r="DW189">
            <v>0</v>
          </cell>
        </row>
        <row r="190">
          <cell r="DU190">
            <v>0</v>
          </cell>
          <cell r="DV190">
            <v>0</v>
          </cell>
          <cell r="DW190">
            <v>0</v>
          </cell>
        </row>
        <row r="191">
          <cell r="DU191">
            <v>0</v>
          </cell>
          <cell r="DV191">
            <v>0</v>
          </cell>
          <cell r="DW191">
            <v>0</v>
          </cell>
        </row>
        <row r="194">
          <cell r="DU194">
            <v>0</v>
          </cell>
          <cell r="DV194">
            <v>0</v>
          </cell>
          <cell r="DW194">
            <v>0</v>
          </cell>
        </row>
        <row r="195">
          <cell r="DU195">
            <v>0</v>
          </cell>
          <cell r="DV195">
            <v>0</v>
          </cell>
          <cell r="DW195">
            <v>0</v>
          </cell>
        </row>
        <row r="196">
          <cell r="DU196">
            <v>0</v>
          </cell>
          <cell r="DV196">
            <v>0</v>
          </cell>
          <cell r="DW196">
            <v>0</v>
          </cell>
        </row>
        <row r="197">
          <cell r="DU197">
            <v>0</v>
          </cell>
          <cell r="DV197">
            <v>0</v>
          </cell>
          <cell r="DW197">
            <v>0</v>
          </cell>
        </row>
        <row r="198">
          <cell r="DU198">
            <v>23.884</v>
          </cell>
          <cell r="DV198">
            <v>31.005000000000003</v>
          </cell>
          <cell r="DW198">
            <v>37.840000000000003</v>
          </cell>
        </row>
        <row r="199">
          <cell r="DU199">
            <v>1.4889999999999999</v>
          </cell>
          <cell r="DV199">
            <v>2.9489999999999998</v>
          </cell>
          <cell r="DW199">
            <v>5.2829999999999995</v>
          </cell>
        </row>
        <row r="200">
          <cell r="DU200">
            <v>0</v>
          </cell>
          <cell r="DV200">
            <v>0</v>
          </cell>
          <cell r="DW200">
            <v>0</v>
          </cell>
        </row>
        <row r="201">
          <cell r="DU201">
            <v>101.26800000000001</v>
          </cell>
          <cell r="DV201">
            <v>138.38900000000001</v>
          </cell>
          <cell r="DW201">
            <v>172.53500000000003</v>
          </cell>
        </row>
        <row r="202">
          <cell r="DU202">
            <v>1200</v>
          </cell>
          <cell r="DV202">
            <v>3925.41</v>
          </cell>
          <cell r="DW202">
            <v>6627.95</v>
          </cell>
        </row>
        <row r="203">
          <cell r="DU203">
            <v>0</v>
          </cell>
          <cell r="DV203">
            <v>0</v>
          </cell>
          <cell r="DW203">
            <v>0</v>
          </cell>
        </row>
        <row r="204">
          <cell r="DU204">
            <v>0</v>
          </cell>
          <cell r="DV204">
            <v>0</v>
          </cell>
          <cell r="DW204">
            <v>0</v>
          </cell>
        </row>
        <row r="205">
          <cell r="DU205">
            <v>0</v>
          </cell>
          <cell r="DV205">
            <v>0</v>
          </cell>
          <cell r="DW205">
            <v>0</v>
          </cell>
        </row>
        <row r="206">
          <cell r="DU206">
            <v>199.94800000000001</v>
          </cell>
          <cell r="DV206">
            <v>314.05700000000002</v>
          </cell>
          <cell r="DW206">
            <v>395.26600000000002</v>
          </cell>
        </row>
        <row r="207">
          <cell r="DU207">
            <v>131.005</v>
          </cell>
          <cell r="DV207">
            <v>202.56900000000002</v>
          </cell>
          <cell r="DW207">
            <v>263.71100000000001</v>
          </cell>
        </row>
        <row r="208">
          <cell r="DU208">
            <v>2.68</v>
          </cell>
          <cell r="DV208">
            <v>2.68</v>
          </cell>
          <cell r="DW208">
            <v>2.68</v>
          </cell>
        </row>
        <row r="209">
          <cell r="DU209">
            <v>0</v>
          </cell>
          <cell r="DV209">
            <v>0</v>
          </cell>
          <cell r="DW209">
            <v>0</v>
          </cell>
        </row>
        <row r="210">
          <cell r="DU210">
            <v>0</v>
          </cell>
          <cell r="DV210">
            <v>12.600000000000001</v>
          </cell>
          <cell r="DW210">
            <v>12.600000000000001</v>
          </cell>
        </row>
        <row r="211">
          <cell r="DU211">
            <v>0</v>
          </cell>
          <cell r="DV211">
            <v>0</v>
          </cell>
          <cell r="DW211">
            <v>0</v>
          </cell>
        </row>
        <row r="214">
          <cell r="DU214">
            <v>0</v>
          </cell>
          <cell r="DV214">
            <v>0</v>
          </cell>
          <cell r="DW214">
            <v>0</v>
          </cell>
        </row>
        <row r="216">
          <cell r="DU216">
            <v>0</v>
          </cell>
          <cell r="DV216">
            <v>0</v>
          </cell>
          <cell r="DW216">
            <v>0</v>
          </cell>
        </row>
        <row r="218">
          <cell r="DU218">
            <v>0</v>
          </cell>
          <cell r="DV218">
            <v>0</v>
          </cell>
          <cell r="DW218">
            <v>0</v>
          </cell>
        </row>
        <row r="220">
          <cell r="DU220">
            <v>0</v>
          </cell>
          <cell r="DV220">
            <v>0</v>
          </cell>
          <cell r="DW220">
            <v>0</v>
          </cell>
        </row>
        <row r="221">
          <cell r="DU221">
            <v>0</v>
          </cell>
          <cell r="DV221">
            <v>0</v>
          </cell>
          <cell r="DW221">
            <v>0</v>
          </cell>
        </row>
        <row r="223">
          <cell r="DU223">
            <v>0</v>
          </cell>
          <cell r="DV223">
            <v>0</v>
          </cell>
          <cell r="DW223">
            <v>0</v>
          </cell>
        </row>
        <row r="224">
          <cell r="DU224">
            <v>0</v>
          </cell>
          <cell r="DV224">
            <v>0</v>
          </cell>
          <cell r="DW224">
            <v>0</v>
          </cell>
        </row>
        <row r="225">
          <cell r="DU225">
            <v>0</v>
          </cell>
          <cell r="DV225">
            <v>0</v>
          </cell>
          <cell r="DW225">
            <v>0</v>
          </cell>
        </row>
        <row r="228">
          <cell r="DU228">
            <v>0</v>
          </cell>
          <cell r="DV228">
            <v>0</v>
          </cell>
          <cell r="DW228">
            <v>0</v>
          </cell>
        </row>
        <row r="229">
          <cell r="DU229">
            <v>0</v>
          </cell>
          <cell r="DV229">
            <v>0</v>
          </cell>
          <cell r="DW229">
            <v>0</v>
          </cell>
        </row>
        <row r="231">
          <cell r="DU231">
            <v>0</v>
          </cell>
          <cell r="DV231">
            <v>0</v>
          </cell>
          <cell r="DW231">
            <v>0</v>
          </cell>
        </row>
        <row r="232">
          <cell r="DU232">
            <v>0</v>
          </cell>
          <cell r="DV232">
            <v>0</v>
          </cell>
          <cell r="DW232">
            <v>0</v>
          </cell>
        </row>
        <row r="233">
          <cell r="DU233">
            <v>0</v>
          </cell>
          <cell r="DV233">
            <v>0</v>
          </cell>
          <cell r="DW233">
            <v>0</v>
          </cell>
        </row>
        <row r="236">
          <cell r="DU236">
            <v>0</v>
          </cell>
          <cell r="DV236">
            <v>0</v>
          </cell>
          <cell r="DW236">
            <v>0</v>
          </cell>
        </row>
        <row r="237">
          <cell r="DU237">
            <v>0</v>
          </cell>
          <cell r="DV237">
            <v>0</v>
          </cell>
          <cell r="DW237">
            <v>0</v>
          </cell>
        </row>
        <row r="238">
          <cell r="DU238">
            <v>0</v>
          </cell>
          <cell r="DV238">
            <v>0</v>
          </cell>
          <cell r="DW238">
            <v>0</v>
          </cell>
        </row>
        <row r="239">
          <cell r="DU239">
            <v>0</v>
          </cell>
          <cell r="DV239">
            <v>0</v>
          </cell>
          <cell r="DW239">
            <v>0</v>
          </cell>
        </row>
        <row r="241">
          <cell r="DU241">
            <v>0</v>
          </cell>
          <cell r="DV241">
            <v>0</v>
          </cell>
          <cell r="DW241">
            <v>0</v>
          </cell>
        </row>
        <row r="242">
          <cell r="DU242">
            <v>0</v>
          </cell>
          <cell r="DV242">
            <v>0</v>
          </cell>
          <cell r="DW242">
            <v>0</v>
          </cell>
        </row>
        <row r="244">
          <cell r="DU244">
            <v>0</v>
          </cell>
          <cell r="DV244">
            <v>0</v>
          </cell>
          <cell r="DW244">
            <v>0</v>
          </cell>
        </row>
        <row r="245">
          <cell r="DU245">
            <v>0</v>
          </cell>
          <cell r="DV245">
            <v>0</v>
          </cell>
          <cell r="DW245">
            <v>0</v>
          </cell>
        </row>
        <row r="246">
          <cell r="DU246">
            <v>0</v>
          </cell>
          <cell r="DV246">
            <v>0</v>
          </cell>
          <cell r="DW246">
            <v>0</v>
          </cell>
        </row>
        <row r="248">
          <cell r="DU248">
            <v>0</v>
          </cell>
          <cell r="DV248">
            <v>0</v>
          </cell>
          <cell r="DW248">
            <v>0</v>
          </cell>
        </row>
        <row r="249">
          <cell r="DU249">
            <v>0</v>
          </cell>
          <cell r="DV249">
            <v>0</v>
          </cell>
          <cell r="DW249">
            <v>349.173</v>
          </cell>
        </row>
        <row r="251">
          <cell r="DU251">
            <v>0</v>
          </cell>
          <cell r="DV251">
            <v>0</v>
          </cell>
          <cell r="DW251">
            <v>0</v>
          </cell>
        </row>
        <row r="253">
          <cell r="DU253">
            <v>0</v>
          </cell>
          <cell r="DV253">
            <v>0</v>
          </cell>
          <cell r="DW253">
            <v>0</v>
          </cell>
        </row>
        <row r="254">
          <cell r="DU254">
            <v>0</v>
          </cell>
          <cell r="DV254">
            <v>0</v>
          </cell>
          <cell r="DW254">
            <v>0</v>
          </cell>
        </row>
        <row r="255">
          <cell r="DU255">
            <v>0</v>
          </cell>
          <cell r="DV255">
            <v>0</v>
          </cell>
          <cell r="DW255">
            <v>0</v>
          </cell>
        </row>
        <row r="256">
          <cell r="DU256">
            <v>0</v>
          </cell>
          <cell r="DV256">
            <v>0</v>
          </cell>
          <cell r="DW256">
            <v>0</v>
          </cell>
        </row>
        <row r="257">
          <cell r="DU257">
            <v>0</v>
          </cell>
          <cell r="DV257">
            <v>0</v>
          </cell>
          <cell r="DW257">
            <v>0</v>
          </cell>
        </row>
        <row r="258">
          <cell r="DU258">
            <v>0</v>
          </cell>
          <cell r="DV258">
            <v>0</v>
          </cell>
          <cell r="DW258">
            <v>0</v>
          </cell>
        </row>
        <row r="259">
          <cell r="DU259">
            <v>0</v>
          </cell>
          <cell r="DV259">
            <v>0</v>
          </cell>
          <cell r="DW259">
            <v>0</v>
          </cell>
        </row>
        <row r="260">
          <cell r="DU260">
            <v>0</v>
          </cell>
          <cell r="DV260">
            <v>0</v>
          </cell>
          <cell r="DW260">
            <v>0</v>
          </cell>
        </row>
        <row r="261">
          <cell r="DU261">
            <v>0</v>
          </cell>
          <cell r="DV261">
            <v>0</v>
          </cell>
          <cell r="DW261">
            <v>0</v>
          </cell>
        </row>
        <row r="262">
          <cell r="DU262">
            <v>0</v>
          </cell>
          <cell r="DV262">
            <v>0</v>
          </cell>
          <cell r="DW262">
            <v>0</v>
          </cell>
        </row>
        <row r="264">
          <cell r="DU264">
            <v>0</v>
          </cell>
          <cell r="DV264">
            <v>0</v>
          </cell>
          <cell r="DW264">
            <v>0</v>
          </cell>
        </row>
        <row r="265">
          <cell r="DU265">
            <v>0</v>
          </cell>
          <cell r="DV265">
            <v>0</v>
          </cell>
          <cell r="DW265">
            <v>0</v>
          </cell>
        </row>
        <row r="266">
          <cell r="DU266">
            <v>0</v>
          </cell>
          <cell r="DV266">
            <v>0</v>
          </cell>
          <cell r="DW266">
            <v>0</v>
          </cell>
        </row>
        <row r="267">
          <cell r="DU267">
            <v>0</v>
          </cell>
          <cell r="DV267">
            <v>0</v>
          </cell>
          <cell r="DW267">
            <v>0</v>
          </cell>
        </row>
        <row r="268">
          <cell r="DU268">
            <v>0</v>
          </cell>
          <cell r="DV268">
            <v>0</v>
          </cell>
          <cell r="DW268">
            <v>0</v>
          </cell>
        </row>
        <row r="269">
          <cell r="DU269">
            <v>0</v>
          </cell>
          <cell r="DV269">
            <v>0</v>
          </cell>
          <cell r="DW269">
            <v>0</v>
          </cell>
        </row>
        <row r="270">
          <cell r="DU270">
            <v>0</v>
          </cell>
          <cell r="DV270">
            <v>0</v>
          </cell>
          <cell r="DW270">
            <v>0</v>
          </cell>
        </row>
        <row r="271">
          <cell r="DU271">
            <v>0</v>
          </cell>
          <cell r="DV271">
            <v>0</v>
          </cell>
          <cell r="DW271">
            <v>0</v>
          </cell>
        </row>
        <row r="272">
          <cell r="DU272">
            <v>0</v>
          </cell>
          <cell r="DV272">
            <v>0</v>
          </cell>
          <cell r="DW272">
            <v>0</v>
          </cell>
        </row>
        <row r="273">
          <cell r="DU273">
            <v>0</v>
          </cell>
          <cell r="DV273">
            <v>0</v>
          </cell>
          <cell r="DW273">
            <v>0</v>
          </cell>
        </row>
        <row r="274">
          <cell r="DU274">
            <v>0</v>
          </cell>
          <cell r="DV274">
            <v>0</v>
          </cell>
          <cell r="DW274">
            <v>0</v>
          </cell>
        </row>
        <row r="275">
          <cell r="DU275">
            <v>0</v>
          </cell>
          <cell r="DV275">
            <v>0</v>
          </cell>
          <cell r="DW275">
            <v>0</v>
          </cell>
        </row>
        <row r="276">
          <cell r="DU276">
            <v>0</v>
          </cell>
          <cell r="DV276">
            <v>0</v>
          </cell>
          <cell r="DW276">
            <v>0</v>
          </cell>
        </row>
        <row r="277">
          <cell r="DU277">
            <v>0</v>
          </cell>
          <cell r="DV277">
            <v>0</v>
          </cell>
          <cell r="DW277">
            <v>0</v>
          </cell>
        </row>
        <row r="278">
          <cell r="DU278">
            <v>0</v>
          </cell>
          <cell r="DV278">
            <v>0</v>
          </cell>
          <cell r="DW278">
            <v>0</v>
          </cell>
        </row>
        <row r="279">
          <cell r="DU279">
            <v>0</v>
          </cell>
          <cell r="DV279">
            <v>0</v>
          </cell>
          <cell r="DW279">
            <v>0</v>
          </cell>
        </row>
        <row r="280">
          <cell r="DU280">
            <v>0</v>
          </cell>
          <cell r="DV280">
            <v>0</v>
          </cell>
          <cell r="DW280">
            <v>0</v>
          </cell>
        </row>
        <row r="281">
          <cell r="DU281">
            <v>0</v>
          </cell>
          <cell r="DV281">
            <v>0</v>
          </cell>
          <cell r="DW281">
            <v>0</v>
          </cell>
        </row>
        <row r="283">
          <cell r="DU283">
            <v>0</v>
          </cell>
          <cell r="DV283">
            <v>0</v>
          </cell>
          <cell r="DW283">
            <v>0</v>
          </cell>
        </row>
        <row r="284">
          <cell r="DU284">
            <v>0</v>
          </cell>
          <cell r="DV284">
            <v>0</v>
          </cell>
          <cell r="DW284">
            <v>0</v>
          </cell>
        </row>
        <row r="285">
          <cell r="DU285">
            <v>0</v>
          </cell>
          <cell r="DV285">
            <v>0</v>
          </cell>
          <cell r="DW285">
            <v>0</v>
          </cell>
        </row>
        <row r="286">
          <cell r="DU286">
            <v>0</v>
          </cell>
          <cell r="DV286">
            <v>0</v>
          </cell>
          <cell r="DW286">
            <v>0</v>
          </cell>
        </row>
        <row r="287">
          <cell r="DU287">
            <v>0</v>
          </cell>
          <cell r="DV287">
            <v>0</v>
          </cell>
          <cell r="DW287">
            <v>0</v>
          </cell>
        </row>
        <row r="288">
          <cell r="DU288">
            <v>0</v>
          </cell>
          <cell r="DV288">
            <v>0</v>
          </cell>
          <cell r="DW288">
            <v>0</v>
          </cell>
        </row>
        <row r="289">
          <cell r="DU289">
            <v>0</v>
          </cell>
          <cell r="DV289">
            <v>0</v>
          </cell>
          <cell r="DW289">
            <v>0</v>
          </cell>
        </row>
        <row r="290">
          <cell r="DU290">
            <v>0</v>
          </cell>
          <cell r="DV290">
            <v>0</v>
          </cell>
          <cell r="DW290">
            <v>0</v>
          </cell>
        </row>
        <row r="291">
          <cell r="DU291">
            <v>0</v>
          </cell>
          <cell r="DV291">
            <v>0</v>
          </cell>
          <cell r="DW291">
            <v>0</v>
          </cell>
        </row>
        <row r="292">
          <cell r="DU292">
            <v>0</v>
          </cell>
          <cell r="DV292">
            <v>0</v>
          </cell>
          <cell r="DW292">
            <v>0</v>
          </cell>
        </row>
        <row r="293">
          <cell r="DU293">
            <v>0</v>
          </cell>
          <cell r="DV293">
            <v>0</v>
          </cell>
          <cell r="DW293">
            <v>0</v>
          </cell>
        </row>
        <row r="294">
          <cell r="DU294">
            <v>0</v>
          </cell>
          <cell r="DV294">
            <v>0</v>
          </cell>
          <cell r="DW294">
            <v>0</v>
          </cell>
        </row>
        <row r="295">
          <cell r="DU295">
            <v>0</v>
          </cell>
          <cell r="DV295">
            <v>0</v>
          </cell>
          <cell r="DW295">
            <v>0</v>
          </cell>
        </row>
        <row r="296">
          <cell r="DU296">
            <v>0</v>
          </cell>
          <cell r="DV296">
            <v>0</v>
          </cell>
          <cell r="DW296">
            <v>0</v>
          </cell>
        </row>
        <row r="297">
          <cell r="DU297">
            <v>0</v>
          </cell>
          <cell r="DV297">
            <v>0</v>
          </cell>
          <cell r="DW297">
            <v>0</v>
          </cell>
        </row>
        <row r="298">
          <cell r="DU298">
            <v>0</v>
          </cell>
          <cell r="DV298">
            <v>0</v>
          </cell>
          <cell r="DW298">
            <v>0</v>
          </cell>
        </row>
        <row r="299">
          <cell r="DU299">
            <v>0</v>
          </cell>
          <cell r="DV299">
            <v>0</v>
          </cell>
          <cell r="DW299">
            <v>0</v>
          </cell>
        </row>
        <row r="300">
          <cell r="DU300">
            <v>0</v>
          </cell>
          <cell r="DV300">
            <v>0</v>
          </cell>
          <cell r="DW300">
            <v>0</v>
          </cell>
        </row>
        <row r="301">
          <cell r="DU301">
            <v>0</v>
          </cell>
          <cell r="DV301">
            <v>0</v>
          </cell>
          <cell r="DW301">
            <v>0</v>
          </cell>
        </row>
        <row r="302">
          <cell r="DU302">
            <v>0</v>
          </cell>
          <cell r="DV302">
            <v>0</v>
          </cell>
          <cell r="DW302">
            <v>0</v>
          </cell>
        </row>
        <row r="303">
          <cell r="DU303">
            <v>0</v>
          </cell>
          <cell r="DV303">
            <v>0</v>
          </cell>
          <cell r="DW303">
            <v>0</v>
          </cell>
        </row>
        <row r="304">
          <cell r="DU304">
            <v>0</v>
          </cell>
          <cell r="DV304">
            <v>0</v>
          </cell>
          <cell r="DW304">
            <v>0</v>
          </cell>
        </row>
        <row r="305">
          <cell r="DU305">
            <v>0</v>
          </cell>
          <cell r="DV305">
            <v>0</v>
          </cell>
          <cell r="DW305">
            <v>0</v>
          </cell>
        </row>
        <row r="306">
          <cell r="DU306">
            <v>0</v>
          </cell>
          <cell r="DV306">
            <v>0</v>
          </cell>
          <cell r="DW306">
            <v>0</v>
          </cell>
        </row>
        <row r="307">
          <cell r="DU307">
            <v>0</v>
          </cell>
          <cell r="DV307">
            <v>0</v>
          </cell>
          <cell r="DW307">
            <v>0</v>
          </cell>
        </row>
        <row r="308">
          <cell r="DU308">
            <v>0</v>
          </cell>
          <cell r="DV308">
            <v>0</v>
          </cell>
          <cell r="DW308">
            <v>0</v>
          </cell>
        </row>
        <row r="309">
          <cell r="DU309">
            <v>0</v>
          </cell>
          <cell r="DV309">
            <v>0</v>
          </cell>
          <cell r="DW309">
            <v>0</v>
          </cell>
        </row>
        <row r="310">
          <cell r="DU310">
            <v>0</v>
          </cell>
          <cell r="DV310">
            <v>0</v>
          </cell>
          <cell r="DW310">
            <v>0</v>
          </cell>
        </row>
        <row r="311">
          <cell r="DU311">
            <v>0</v>
          </cell>
          <cell r="DV311">
            <v>0</v>
          </cell>
          <cell r="DW311">
            <v>0</v>
          </cell>
        </row>
        <row r="312">
          <cell r="DU312">
            <v>0</v>
          </cell>
          <cell r="DV312">
            <v>0</v>
          </cell>
          <cell r="DW312">
            <v>0</v>
          </cell>
        </row>
        <row r="313">
          <cell r="DU313">
            <v>0</v>
          </cell>
          <cell r="DV313">
            <v>0</v>
          </cell>
          <cell r="DW313">
            <v>0</v>
          </cell>
        </row>
        <row r="314">
          <cell r="DU314">
            <v>0</v>
          </cell>
          <cell r="DV314">
            <v>0</v>
          </cell>
          <cell r="DW314">
            <v>0</v>
          </cell>
        </row>
        <row r="315">
          <cell r="DU315">
            <v>0</v>
          </cell>
          <cell r="DV315">
            <v>0</v>
          </cell>
          <cell r="DW315">
            <v>0</v>
          </cell>
        </row>
        <row r="316">
          <cell r="DU316">
            <v>0</v>
          </cell>
          <cell r="DV316">
            <v>0</v>
          </cell>
          <cell r="DW316">
            <v>0</v>
          </cell>
        </row>
        <row r="317">
          <cell r="DU317">
            <v>0</v>
          </cell>
          <cell r="DV317">
            <v>0</v>
          </cell>
          <cell r="DW317">
            <v>0</v>
          </cell>
        </row>
        <row r="318">
          <cell r="DU318">
            <v>0</v>
          </cell>
          <cell r="DV318">
            <v>0</v>
          </cell>
          <cell r="DW318">
            <v>0</v>
          </cell>
        </row>
        <row r="319">
          <cell r="DU319">
            <v>0</v>
          </cell>
          <cell r="DV319">
            <v>0</v>
          </cell>
          <cell r="DW319">
            <v>0</v>
          </cell>
        </row>
        <row r="320">
          <cell r="DU320">
            <v>0</v>
          </cell>
          <cell r="DV320">
            <v>0</v>
          </cell>
          <cell r="DW320">
            <v>0</v>
          </cell>
        </row>
        <row r="321">
          <cell r="DU321">
            <v>0</v>
          </cell>
          <cell r="DV321">
            <v>0</v>
          </cell>
          <cell r="DW321">
            <v>0</v>
          </cell>
        </row>
        <row r="322">
          <cell r="DU322">
            <v>0</v>
          </cell>
          <cell r="DV322">
            <v>0</v>
          </cell>
          <cell r="DW322">
            <v>0</v>
          </cell>
        </row>
        <row r="323">
          <cell r="DU323">
            <v>0</v>
          </cell>
          <cell r="DV323">
            <v>0</v>
          </cell>
          <cell r="DW323">
            <v>0</v>
          </cell>
        </row>
        <row r="324">
          <cell r="DU324">
            <v>0</v>
          </cell>
          <cell r="DV324">
            <v>0</v>
          </cell>
          <cell r="DW324">
            <v>0</v>
          </cell>
        </row>
        <row r="325">
          <cell r="DU325">
            <v>0</v>
          </cell>
          <cell r="DV325">
            <v>0</v>
          </cell>
          <cell r="DW325">
            <v>0</v>
          </cell>
        </row>
        <row r="326">
          <cell r="DU326">
            <v>0</v>
          </cell>
          <cell r="DV326">
            <v>0</v>
          </cell>
          <cell r="DW326">
            <v>0</v>
          </cell>
        </row>
        <row r="327">
          <cell r="DU327">
            <v>0</v>
          </cell>
          <cell r="DV327">
            <v>0</v>
          </cell>
          <cell r="DW327">
            <v>0</v>
          </cell>
        </row>
        <row r="328">
          <cell r="DU328">
            <v>0</v>
          </cell>
          <cell r="DV328">
            <v>0</v>
          </cell>
          <cell r="DW328">
            <v>0</v>
          </cell>
        </row>
        <row r="329">
          <cell r="DU329">
            <v>0</v>
          </cell>
          <cell r="DV329">
            <v>0</v>
          </cell>
          <cell r="DW329">
            <v>0</v>
          </cell>
        </row>
        <row r="331">
          <cell r="DU331">
            <v>0</v>
          </cell>
          <cell r="DV331">
            <v>0</v>
          </cell>
          <cell r="DW331">
            <v>0</v>
          </cell>
        </row>
        <row r="332">
          <cell r="DU332">
            <v>0</v>
          </cell>
          <cell r="DV332">
            <v>0</v>
          </cell>
          <cell r="DW332">
            <v>0</v>
          </cell>
        </row>
        <row r="333">
          <cell r="DU333">
            <v>0</v>
          </cell>
          <cell r="DV333">
            <v>0</v>
          </cell>
          <cell r="DW333">
            <v>0</v>
          </cell>
        </row>
        <row r="334">
          <cell r="DU334">
            <v>0</v>
          </cell>
          <cell r="DV334">
            <v>0</v>
          </cell>
          <cell r="DW334">
            <v>0</v>
          </cell>
        </row>
        <row r="335">
          <cell r="DU335">
            <v>0</v>
          </cell>
          <cell r="DV335">
            <v>0</v>
          </cell>
          <cell r="DW335">
            <v>0</v>
          </cell>
        </row>
        <row r="336">
          <cell r="DU336">
            <v>0</v>
          </cell>
          <cell r="DV336">
            <v>0</v>
          </cell>
          <cell r="DW336">
            <v>0</v>
          </cell>
        </row>
        <row r="337">
          <cell r="DU337">
            <v>0</v>
          </cell>
          <cell r="DV337">
            <v>0</v>
          </cell>
          <cell r="DW337">
            <v>0</v>
          </cell>
        </row>
        <row r="338">
          <cell r="DU338">
            <v>0</v>
          </cell>
          <cell r="DV338">
            <v>0</v>
          </cell>
          <cell r="DW338">
            <v>0</v>
          </cell>
        </row>
        <row r="339">
          <cell r="DU339">
            <v>0</v>
          </cell>
          <cell r="DV339">
            <v>0</v>
          </cell>
          <cell r="DW339">
            <v>0</v>
          </cell>
        </row>
        <row r="340">
          <cell r="DU340">
            <v>0</v>
          </cell>
          <cell r="DV340">
            <v>0</v>
          </cell>
          <cell r="DW340">
            <v>0</v>
          </cell>
        </row>
        <row r="341">
          <cell r="DU341">
            <v>0</v>
          </cell>
          <cell r="DV341">
            <v>0</v>
          </cell>
          <cell r="DW341">
            <v>0</v>
          </cell>
        </row>
        <row r="342">
          <cell r="DU342">
            <v>0</v>
          </cell>
          <cell r="DV342">
            <v>0</v>
          </cell>
          <cell r="DW342">
            <v>0</v>
          </cell>
        </row>
        <row r="343">
          <cell r="DU343">
            <v>0</v>
          </cell>
          <cell r="DV343">
            <v>0</v>
          </cell>
          <cell r="DW343">
            <v>0</v>
          </cell>
        </row>
        <row r="344">
          <cell r="DU344">
            <v>0</v>
          </cell>
          <cell r="DV344">
            <v>0</v>
          </cell>
          <cell r="DW344">
            <v>0</v>
          </cell>
        </row>
        <row r="345">
          <cell r="DU345">
            <v>0</v>
          </cell>
          <cell r="DV345">
            <v>0</v>
          </cell>
          <cell r="DW345">
            <v>0</v>
          </cell>
        </row>
        <row r="346">
          <cell r="DU346">
            <v>0</v>
          </cell>
          <cell r="DV346">
            <v>0</v>
          </cell>
          <cell r="DW346">
            <v>0</v>
          </cell>
        </row>
        <row r="347">
          <cell r="DU347">
            <v>0</v>
          </cell>
          <cell r="DV347">
            <v>0</v>
          </cell>
          <cell r="DW347">
            <v>0</v>
          </cell>
        </row>
        <row r="348">
          <cell r="DU348">
            <v>0</v>
          </cell>
          <cell r="DV348">
            <v>0</v>
          </cell>
          <cell r="DW348">
            <v>0</v>
          </cell>
        </row>
        <row r="349">
          <cell r="DU349">
            <v>0</v>
          </cell>
          <cell r="DV349">
            <v>0</v>
          </cell>
          <cell r="DW349">
            <v>0</v>
          </cell>
        </row>
        <row r="350">
          <cell r="DU350">
            <v>0</v>
          </cell>
          <cell r="DV350">
            <v>0</v>
          </cell>
          <cell r="DW350">
            <v>0</v>
          </cell>
        </row>
        <row r="351">
          <cell r="DU351">
            <v>0</v>
          </cell>
          <cell r="DV351">
            <v>0</v>
          </cell>
          <cell r="DW351">
            <v>0</v>
          </cell>
        </row>
        <row r="352">
          <cell r="DU352">
            <v>0</v>
          </cell>
          <cell r="DV352">
            <v>0</v>
          </cell>
          <cell r="DW352">
            <v>0</v>
          </cell>
        </row>
        <row r="353">
          <cell r="DU353">
            <v>0</v>
          </cell>
          <cell r="DV353">
            <v>0</v>
          </cell>
          <cell r="DW353">
            <v>0</v>
          </cell>
        </row>
        <row r="354">
          <cell r="DU354">
            <v>0</v>
          </cell>
          <cell r="DV354">
            <v>0</v>
          </cell>
          <cell r="DW354">
            <v>0</v>
          </cell>
        </row>
        <row r="355">
          <cell r="DU355">
            <v>0</v>
          </cell>
          <cell r="DV355">
            <v>0</v>
          </cell>
          <cell r="DW355">
            <v>0</v>
          </cell>
        </row>
        <row r="356">
          <cell r="DU356">
            <v>0</v>
          </cell>
          <cell r="DV356">
            <v>0</v>
          </cell>
          <cell r="DW356">
            <v>0</v>
          </cell>
        </row>
        <row r="357">
          <cell r="DU357">
            <v>0</v>
          </cell>
          <cell r="DV357">
            <v>0</v>
          </cell>
          <cell r="DW357">
            <v>0</v>
          </cell>
        </row>
        <row r="358">
          <cell r="DU358">
            <v>0</v>
          </cell>
          <cell r="DV358">
            <v>0</v>
          </cell>
          <cell r="DW358">
            <v>0</v>
          </cell>
        </row>
        <row r="359">
          <cell r="DU359">
            <v>0</v>
          </cell>
          <cell r="DV359">
            <v>0</v>
          </cell>
          <cell r="DW359">
            <v>0</v>
          </cell>
        </row>
        <row r="360">
          <cell r="DU360">
            <v>0</v>
          </cell>
          <cell r="DV360">
            <v>0</v>
          </cell>
          <cell r="DW360">
            <v>0</v>
          </cell>
        </row>
        <row r="361">
          <cell r="DU361">
            <v>0</v>
          </cell>
          <cell r="DV361">
            <v>0</v>
          </cell>
          <cell r="DW361">
            <v>0</v>
          </cell>
        </row>
        <row r="362">
          <cell r="DU362">
            <v>0</v>
          </cell>
          <cell r="DV362">
            <v>0</v>
          </cell>
          <cell r="DW362">
            <v>0</v>
          </cell>
        </row>
        <row r="363">
          <cell r="DU363">
            <v>0</v>
          </cell>
          <cell r="DV363">
            <v>0</v>
          </cell>
          <cell r="DW363">
            <v>0</v>
          </cell>
        </row>
        <row r="364">
          <cell r="DU364">
            <v>0</v>
          </cell>
          <cell r="DV364">
            <v>0</v>
          </cell>
          <cell r="DW364">
            <v>0</v>
          </cell>
        </row>
        <row r="365">
          <cell r="DU365">
            <v>0</v>
          </cell>
          <cell r="DV365">
            <v>0</v>
          </cell>
          <cell r="DW365">
            <v>0</v>
          </cell>
        </row>
        <row r="366">
          <cell r="DU366">
            <v>0</v>
          </cell>
          <cell r="DV366">
            <v>0</v>
          </cell>
          <cell r="DW366">
            <v>0</v>
          </cell>
        </row>
        <row r="367">
          <cell r="DU367">
            <v>0</v>
          </cell>
          <cell r="DV367">
            <v>0</v>
          </cell>
          <cell r="DW367">
            <v>0</v>
          </cell>
        </row>
        <row r="368">
          <cell r="DU368">
            <v>0</v>
          </cell>
          <cell r="DV368">
            <v>0</v>
          </cell>
          <cell r="DW368">
            <v>0</v>
          </cell>
        </row>
        <row r="369">
          <cell r="DU369">
            <v>0</v>
          </cell>
          <cell r="DV369">
            <v>0</v>
          </cell>
          <cell r="DW369">
            <v>0</v>
          </cell>
        </row>
        <row r="372">
          <cell r="DU372">
            <v>178.09</v>
          </cell>
          <cell r="DV372">
            <v>178.08499999999998</v>
          </cell>
          <cell r="DW372">
            <v>246.24899999999997</v>
          </cell>
        </row>
        <row r="373">
          <cell r="DU373">
            <v>16.809999999999999</v>
          </cell>
          <cell r="DV373">
            <v>16.808</v>
          </cell>
          <cell r="DW373">
            <v>24.384</v>
          </cell>
        </row>
        <row r="374">
          <cell r="DU374">
            <v>84.27</v>
          </cell>
          <cell r="DV374">
            <v>84.266999999999996</v>
          </cell>
          <cell r="DW374">
            <v>84.266999999999996</v>
          </cell>
        </row>
        <row r="375">
          <cell r="DU375">
            <v>35.99</v>
          </cell>
          <cell r="DV375">
            <v>41.460999999999999</v>
          </cell>
          <cell r="DW375">
            <v>41.460999999999999</v>
          </cell>
        </row>
        <row r="376">
          <cell r="DV376">
            <v>0</v>
          </cell>
          <cell r="DW376">
            <v>0</v>
          </cell>
        </row>
        <row r="377">
          <cell r="DU377">
            <v>347.29</v>
          </cell>
          <cell r="DV377">
            <v>347.29399999999998</v>
          </cell>
          <cell r="DW377">
            <v>347.29399999999998</v>
          </cell>
        </row>
        <row r="378">
          <cell r="DU378">
            <v>0</v>
          </cell>
          <cell r="DV378">
            <v>436.74200000000008</v>
          </cell>
          <cell r="DW378">
            <v>436.74200000000008</v>
          </cell>
        </row>
        <row r="380">
          <cell r="DU380">
            <v>0</v>
          </cell>
          <cell r="DV380">
            <v>7.7279999999999998</v>
          </cell>
          <cell r="DW380">
            <v>26.268000000000001</v>
          </cell>
        </row>
        <row r="383">
          <cell r="DU383">
            <v>806.88</v>
          </cell>
          <cell r="DV383">
            <v>806.88400000000001</v>
          </cell>
          <cell r="DW383">
            <v>806.88400000000001</v>
          </cell>
        </row>
      </sheetData>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ow r="15">
          <cell r="B15" t="str">
            <v>Description</v>
          </cell>
          <cell r="F15" t="str">
            <v>Amount (Rs.)</v>
          </cell>
        </row>
        <row r="17">
          <cell r="F17">
            <v>0</v>
          </cell>
        </row>
        <row r="18">
          <cell r="F18">
            <v>0</v>
          </cell>
        </row>
        <row r="19">
          <cell r="F19">
            <v>0</v>
          </cell>
        </row>
        <row r="20">
          <cell r="F20">
            <v>0</v>
          </cell>
        </row>
        <row r="21">
          <cell r="F21">
            <v>0</v>
          </cell>
        </row>
        <row r="23">
          <cell r="F23">
            <v>0</v>
          </cell>
        </row>
        <row r="26">
          <cell r="B26" t="str">
            <v>Description</v>
          </cell>
          <cell r="F26" t="str">
            <v>Amount (Rs.)</v>
          </cell>
        </row>
        <row r="28">
          <cell r="F28">
            <v>0</v>
          </cell>
        </row>
        <row r="29">
          <cell r="F29">
            <v>0</v>
          </cell>
        </row>
        <row r="30">
          <cell r="F30">
            <v>0</v>
          </cell>
        </row>
        <row r="31">
          <cell r="F31">
            <v>0</v>
          </cell>
        </row>
        <row r="32">
          <cell r="F32">
            <v>0</v>
          </cell>
        </row>
        <row r="34">
          <cell r="F34">
            <v>0</v>
          </cell>
        </row>
        <row r="37">
          <cell r="B37" t="str">
            <v>Description</v>
          </cell>
          <cell r="F37" t="str">
            <v>Amount (Rs.)</v>
          </cell>
        </row>
        <row r="39">
          <cell r="F39">
            <v>0</v>
          </cell>
        </row>
        <row r="40">
          <cell r="F40">
            <v>0</v>
          </cell>
        </row>
        <row r="41">
          <cell r="F41">
            <v>0</v>
          </cell>
        </row>
        <row r="42">
          <cell r="F42">
            <v>0</v>
          </cell>
        </row>
        <row r="43">
          <cell r="F43">
            <v>0</v>
          </cell>
        </row>
        <row r="45">
          <cell r="F45">
            <v>0</v>
          </cell>
        </row>
        <row r="48">
          <cell r="F48" t="str">
            <v>Amount (Rs.)</v>
          </cell>
        </row>
        <row r="50">
          <cell r="F50">
            <v>0</v>
          </cell>
        </row>
        <row r="51">
          <cell r="F51">
            <v>0</v>
          </cell>
        </row>
        <row r="52">
          <cell r="F52">
            <v>0</v>
          </cell>
        </row>
        <row r="54">
          <cell r="F54">
            <v>0</v>
          </cell>
        </row>
        <row r="75">
          <cell r="B75" t="str">
            <v>Description</v>
          </cell>
          <cell r="F75" t="str">
            <v>Amount (Rs.)</v>
          </cell>
        </row>
        <row r="77">
          <cell r="F77">
            <v>0</v>
          </cell>
        </row>
        <row r="78">
          <cell r="F78">
            <v>0</v>
          </cell>
        </row>
        <row r="79">
          <cell r="F79">
            <v>0</v>
          </cell>
        </row>
        <row r="80">
          <cell r="F80">
            <v>0</v>
          </cell>
        </row>
        <row r="81">
          <cell r="F81">
            <v>0</v>
          </cell>
        </row>
        <row r="83">
          <cell r="F83">
            <v>0</v>
          </cell>
        </row>
        <row r="86">
          <cell r="B86" t="str">
            <v>Description</v>
          </cell>
          <cell r="F86" t="str">
            <v>Amount (Rs.)</v>
          </cell>
        </row>
        <row r="88">
          <cell r="F88">
            <v>0</v>
          </cell>
        </row>
        <row r="89">
          <cell r="F89">
            <v>0</v>
          </cell>
        </row>
        <row r="90">
          <cell r="F90">
            <v>0</v>
          </cell>
        </row>
        <row r="91">
          <cell r="F91">
            <v>0</v>
          </cell>
        </row>
        <row r="92">
          <cell r="F92">
            <v>0</v>
          </cell>
        </row>
        <row r="94">
          <cell r="F94">
            <v>0</v>
          </cell>
        </row>
        <row r="97">
          <cell r="B97" t="str">
            <v>Description</v>
          </cell>
          <cell r="F97" t="str">
            <v>Amount (Rs.)</v>
          </cell>
        </row>
        <row r="99">
          <cell r="F99">
            <v>0</v>
          </cell>
        </row>
        <row r="100">
          <cell r="F100">
            <v>0</v>
          </cell>
        </row>
        <row r="101">
          <cell r="F101">
            <v>0</v>
          </cell>
        </row>
        <row r="102">
          <cell r="F102">
            <v>0</v>
          </cell>
        </row>
        <row r="103">
          <cell r="F103">
            <v>0</v>
          </cell>
        </row>
        <row r="105">
          <cell r="F105">
            <v>0</v>
          </cell>
        </row>
        <row r="108">
          <cell r="F108" t="str">
            <v>Amount (Rs.)</v>
          </cell>
        </row>
        <row r="110">
          <cell r="F110">
            <v>0</v>
          </cell>
        </row>
        <row r="111">
          <cell r="F111">
            <v>0</v>
          </cell>
        </row>
        <row r="112">
          <cell r="F112">
            <v>0</v>
          </cell>
        </row>
        <row r="114">
          <cell r="F114">
            <v>0</v>
          </cell>
        </row>
      </sheetData>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1"/>
      <sheetName val="BOQ2"/>
      <sheetName val="BOQ3"/>
      <sheetName val="Estimate"/>
      <sheetName val="Estimate1"/>
      <sheetName val="Summary"/>
      <sheetName val="Temp"/>
      <sheetName val="Rates"/>
      <sheetName val="BI P&amp;L"/>
    </sheetNames>
    <sheetDataSet>
      <sheetData sheetId="0"/>
      <sheetData sheetId="1">
        <row r="573">
          <cell r="G573">
            <v>0</v>
          </cell>
        </row>
        <row r="575">
          <cell r="G575">
            <v>0</v>
          </cell>
        </row>
        <row r="577">
          <cell r="G577">
            <v>0</v>
          </cell>
        </row>
        <row r="579">
          <cell r="G579">
            <v>0</v>
          </cell>
        </row>
      </sheetData>
      <sheetData sheetId="2"/>
      <sheetData sheetId="3"/>
      <sheetData sheetId="4"/>
      <sheetData sheetId="5"/>
      <sheetData sheetId="6"/>
      <sheetData sheetId="7"/>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rst (2)"/>
      <sheetName val="First"/>
      <sheetName val="Payment Rev."/>
      <sheetName val="Payment"/>
      <sheetName val="wording"/>
      <sheetName val="SUM"/>
      <sheetName val="BOQ"/>
      <sheetName val="Mea sht-Pre"/>
      <sheetName val="Mea sht-str"/>
      <sheetName val="Mea sht-tree"/>
      <sheetName val="Mea sht-rd wrks(M3)"/>
      <sheetName val="Mea sht-rd wrks(M2)"/>
      <sheetName val="MAT"/>
      <sheetName val="Bar Cht"/>
      <sheetName val="Safty"/>
      <sheetName val="cover page"/>
    </sheetNames>
    <sheetDataSet>
      <sheetData sheetId="0" refreshError="1"/>
      <sheetData sheetId="1" refreshError="1"/>
      <sheetData sheetId="2" refreshError="1"/>
      <sheetData sheetId="3" refreshError="1"/>
      <sheetData sheetId="4">
        <row r="10">
          <cell r="D10" t="str">
            <v>Value1</v>
          </cell>
          <cell r="E10" t="str">
            <v>Word1</v>
          </cell>
          <cell r="G10" t="str">
            <v>Value2</v>
          </cell>
          <cell r="H10" t="str">
            <v>Word2</v>
          </cell>
          <cell r="J10" t="str">
            <v>Value3</v>
          </cell>
          <cell r="K10" t="str">
            <v>Word3</v>
          </cell>
        </row>
        <row r="11">
          <cell r="D11">
            <v>0</v>
          </cell>
          <cell r="G11">
            <v>0</v>
          </cell>
          <cell r="H11" t="str">
            <v>Ten</v>
          </cell>
          <cell r="J11">
            <v>2</v>
          </cell>
          <cell r="K11" t="str">
            <v>Twenty</v>
          </cell>
        </row>
        <row r="12">
          <cell r="D12">
            <v>1</v>
          </cell>
          <cell r="E12" t="str">
            <v>One</v>
          </cell>
          <cell r="G12">
            <v>1</v>
          </cell>
          <cell r="H12" t="str">
            <v>Eleven</v>
          </cell>
          <cell r="J12">
            <v>3</v>
          </cell>
          <cell r="K12" t="str">
            <v>Thirty</v>
          </cell>
        </row>
        <row r="13">
          <cell r="D13">
            <v>2</v>
          </cell>
          <cell r="E13" t="str">
            <v>Two</v>
          </cell>
          <cell r="G13">
            <v>2</v>
          </cell>
          <cell r="H13" t="str">
            <v>Twelve</v>
          </cell>
          <cell r="J13">
            <v>4</v>
          </cell>
          <cell r="K13" t="str">
            <v>Forty</v>
          </cell>
        </row>
        <row r="14">
          <cell r="D14">
            <v>3</v>
          </cell>
          <cell r="E14" t="str">
            <v>Three</v>
          </cell>
          <cell r="G14">
            <v>3</v>
          </cell>
          <cell r="H14" t="str">
            <v>Thirteen</v>
          </cell>
          <cell r="J14">
            <v>5</v>
          </cell>
          <cell r="K14" t="str">
            <v>Fifty</v>
          </cell>
        </row>
        <row r="15">
          <cell r="D15">
            <v>4</v>
          </cell>
          <cell r="E15" t="str">
            <v>Four</v>
          </cell>
          <cell r="G15">
            <v>4</v>
          </cell>
          <cell r="H15" t="str">
            <v>Fourteen</v>
          </cell>
          <cell r="J15">
            <v>6</v>
          </cell>
          <cell r="K15" t="str">
            <v>Sixty</v>
          </cell>
        </row>
        <row r="16">
          <cell r="D16">
            <v>5</v>
          </cell>
          <cell r="E16" t="str">
            <v>Five</v>
          </cell>
          <cell r="G16">
            <v>5</v>
          </cell>
          <cell r="H16" t="str">
            <v>Fifteen</v>
          </cell>
          <cell r="J16">
            <v>7</v>
          </cell>
          <cell r="K16" t="str">
            <v>Seventy</v>
          </cell>
        </row>
        <row r="17">
          <cell r="D17">
            <v>6</v>
          </cell>
          <cell r="E17" t="str">
            <v>Six</v>
          </cell>
          <cell r="G17">
            <v>6</v>
          </cell>
          <cell r="H17" t="str">
            <v>Sixteen</v>
          </cell>
          <cell r="J17">
            <v>8</v>
          </cell>
          <cell r="K17" t="str">
            <v>Eighty</v>
          </cell>
        </row>
        <row r="18">
          <cell r="D18">
            <v>7</v>
          </cell>
          <cell r="E18" t="str">
            <v>Seven</v>
          </cell>
          <cell r="G18">
            <v>7</v>
          </cell>
          <cell r="H18" t="str">
            <v>Seventeen</v>
          </cell>
          <cell r="J18">
            <v>9</v>
          </cell>
          <cell r="K18" t="str">
            <v>Ninety</v>
          </cell>
        </row>
        <row r="19">
          <cell r="D19">
            <v>8</v>
          </cell>
          <cell r="E19" t="str">
            <v>Eight</v>
          </cell>
          <cell r="G19">
            <v>8</v>
          </cell>
          <cell r="H19" t="str">
            <v>Eighteen</v>
          </cell>
        </row>
        <row r="20">
          <cell r="D20">
            <v>9</v>
          </cell>
          <cell r="E20" t="str">
            <v>Nine</v>
          </cell>
          <cell r="G20">
            <v>9</v>
          </cell>
          <cell r="H20" t="str">
            <v>Nineteen</v>
          </cell>
        </row>
        <row r="22">
          <cell r="B22" t="str">
            <v>Rupees    Three Hundred And Seventy Four Million Seven Hundred And Seventy Nine Thousand Four Hundred And Eighty Nine And Cents  Two Only</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
      <sheetName val="A2"/>
      <sheetName val="A3"/>
      <sheetName val="A6"/>
      <sheetName val="AA"/>
      <sheetName val="AB"/>
      <sheetName val="AC"/>
      <sheetName val="AF"/>
      <sheetName val="R1"/>
      <sheetName val="R2"/>
      <sheetName val="R3"/>
      <sheetName val="R5"/>
      <sheetName val="R6"/>
      <sheetName val="R7"/>
      <sheetName val="R8"/>
      <sheetName val="R9"/>
      <sheetName val="RL"/>
      <sheetName val="RZ"/>
      <sheetName val="T2"/>
      <sheetName val="T4"/>
      <sheetName val="T5"/>
      <sheetName val="T6"/>
      <sheetName val="PLT-SUM"/>
      <sheetName val="TYP-CAP"/>
      <sheetName val="Reserved"/>
      <sheetName val="ALL-SUMMARY"/>
      <sheetName val="MI-ASCI"/>
      <sheetName val="PlantSch1All"/>
      <sheetName val="Non Productive"/>
      <sheetName val="Detail EVA-October"/>
      <sheetName val="Cum-October"/>
      <sheetName val="JULY"/>
      <sheetName val="Road Maintenance"/>
      <sheetName val="Materials Saving"/>
      <sheetName val="JUNE"/>
      <sheetName val="Cumulative"/>
      <sheetName val="AUGUST"/>
      <sheetName val="Cum-August"/>
      <sheetName val="Cumulative EVA-sep"/>
      <sheetName val="Sheet2"/>
      <sheetName val="Main items"/>
      <sheetName val="Sheet3"/>
      <sheetName val="Sheet4"/>
      <sheetName val="Sheet1"/>
      <sheetName val="Joseph Record"/>
      <sheetName val="Raw Data"/>
      <sheetName val="Grass Sodding-Team"/>
      <sheetName val="기계내역서"/>
      <sheetName val="FitOutConfCentre"/>
      <sheetName val="RESOURCES"/>
      <sheetName val="BASIC RATES"/>
      <sheetName val="SUMMARY"/>
      <sheetName val="Non_Productive"/>
      <sheetName val="Detail_EVA-October"/>
      <sheetName val="Road_Maintenance"/>
      <sheetName val="Materials_Saving"/>
      <sheetName val="Cumulative_EVA-sep"/>
      <sheetName val="Main_items"/>
      <sheetName val="Joseph_Record"/>
      <sheetName val="Non_Productive1"/>
      <sheetName val="Detail_EVA-October1"/>
      <sheetName val="Road_Maintenance1"/>
      <sheetName val="Materials_Saving1"/>
      <sheetName val="Cumulative_EVA-sep1"/>
      <sheetName val="Main_items1"/>
      <sheetName val="Joseph_Record1"/>
      <sheetName val="Lead (Final)"/>
      <sheetName val="BOQ2"/>
      <sheetName val="HeavyData"/>
      <sheetName val="HOC"/>
      <sheetName val="OLD PRICES"/>
      <sheetName val="Prilimns"/>
      <sheetName val="残数量確認用"/>
      <sheetName val="BOQ"/>
      <sheetName val="Panels (DWG)"/>
      <sheetName val="Schedules"/>
      <sheetName val="Pl"/>
      <sheetName val="450 x 350"/>
      <sheetName val="B-2"/>
      <sheetName val="Valesco Paste"/>
      <sheetName val="Cost"/>
      <sheetName val="B.100"/>
      <sheetName val="CERTIFICATE"/>
      <sheetName val="Materials"/>
      <sheetName val="CODE LIST"/>
      <sheetName val="F-6 COVER"/>
      <sheetName val="Sum"/>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Section 2-SCHEDULE OF DAYWORK"/>
      <sheetName val="Ragama"/>
      <sheetName val="Unit cost- Drain-Protection-1 "/>
      <sheetName val="Bar.Sched"/>
      <sheetName val="beam-reinft"/>
      <sheetName val="Grass_Sodding-Team"/>
      <sheetName val="BASIC_RATES"/>
      <sheetName val="Raw_Data"/>
      <sheetName val="450_x_350"/>
      <sheetName val="Panels_(DWG)"/>
      <sheetName val="Section_2-SCHEDULE_OF_DAYWORK"/>
      <sheetName val="Unit_cost-_Drain-Protection-1_"/>
      <sheetName val="RBDfor derived Rates"/>
      <sheetName val="BILL SUMMARY"/>
      <sheetName val="WD-8 Main pkg PRT2"/>
      <sheetName val="Mes-Excavation"/>
      <sheetName val="Mes-Con. work_07"/>
      <sheetName val="Mes.Struc. steel_07"/>
      <sheetName val="Mes-RF"/>
      <sheetName val="F9A"/>
      <sheetName val="F10"/>
      <sheetName val="F19"/>
      <sheetName val="F11C"/>
      <sheetName val="F6A"/>
      <sheetName val="F5A"/>
      <sheetName val="BBS_132"/>
      <sheetName val="F2A"/>
      <sheetName val="F1 &amp; F2"/>
      <sheetName val="F3"/>
      <sheetName val="F3A"/>
      <sheetName val="F3B"/>
      <sheetName val="F4"/>
      <sheetName val="F5"/>
      <sheetName val="F6"/>
      <sheetName val="F13"/>
      <sheetName val="F14"/>
      <sheetName val="F9 old"/>
      <sheetName val="F7"/>
      <sheetName val="F8"/>
      <sheetName val="F8A"/>
      <sheetName val="F12"/>
      <sheetName val="F11"/>
      <sheetName val="F11A"/>
      <sheetName val="F15"/>
      <sheetName val="F16"/>
      <sheetName val="F17"/>
      <sheetName val="BOT"/>
      <sheetName val="Services_InitialEst_UtilityServ"/>
      <sheetName val="Rates"/>
      <sheetName val="Cost bd-&quot;A&quot;"/>
      <sheetName val="OLD_PRICES"/>
      <sheetName val="Raw_Data1"/>
      <sheetName val="Panels_(DWG)1"/>
      <sheetName val="Basic_Rates1"/>
      <sheetName val="OLD_PRICES1"/>
      <sheetName val="Grass_Sodding-Team1"/>
      <sheetName val="BOQ 100A"/>
      <sheetName val="BOQ 100B"/>
      <sheetName val="BOQ 200"/>
      <sheetName val="BOQ 300"/>
      <sheetName val="BOQ 400"/>
      <sheetName val="BOQ 550A"/>
      <sheetName val="550B summa"/>
      <sheetName val="BOQ 550B-200"/>
      <sheetName val="BOQ 550B-550"/>
      <sheetName val="BOQ 550B-600"/>
      <sheetName val="BOQ 550D"/>
      <sheetName val="BOQ 600"/>
      <sheetName val="BOQ 800 Summ"/>
      <sheetName val="BOQ 800.1"/>
      <sheetName val="BOQ 800.2"/>
      <sheetName val="BOQ 800.3"/>
      <sheetName val="BOQ 900"/>
      <sheetName val="Variation"/>
      <sheetName val="CODE_LIST"/>
      <sheetName val="Publicbuilding"/>
      <sheetName val="Non_Productive2"/>
      <sheetName val="Non_Productive3"/>
      <sheetName val="Non_Productive4"/>
      <sheetName val="Detail_EVA-October4"/>
      <sheetName val="Road_Maintenance4"/>
      <sheetName val="Materials_Saving4"/>
      <sheetName val="Cumulative_EVA-sep4"/>
      <sheetName val="Main_items4"/>
      <sheetName val="Joseph_Record4"/>
      <sheetName val="Grass_Sodding-Team4"/>
      <sheetName val="BASIC_RATES4"/>
      <sheetName val="Raw_Data4"/>
      <sheetName val="Section_2-SCHEDULE_OF_DAYWORK4"/>
      <sheetName val="Unit_cost-_Drain-Protection-1_4"/>
      <sheetName val="Panels_(DWG)4"/>
      <sheetName val="450_x_3504"/>
      <sheetName val="Bar_Sched3"/>
      <sheetName val="RBDfor_derived_Rates3"/>
      <sheetName val="BILL_SUMMARY3"/>
      <sheetName val="WD-8_Main_pkg_PRT23"/>
      <sheetName val="Mes-Con__work_073"/>
      <sheetName val="Mes_Struc__steel_073"/>
      <sheetName val="F1_&amp;_F23"/>
      <sheetName val="F9_old3"/>
      <sheetName val="Cost_bd-&quot;A&quot;3"/>
      <sheetName val="CODE_LIST1"/>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Bill_101"/>
      <sheetName val="NBT_Calculation1"/>
      <sheetName val="Main_VO_Summary1"/>
      <sheetName val="VO_Sum_Non(New)1"/>
      <sheetName val="VO-07_1"/>
      <sheetName val="VO-08_1"/>
      <sheetName val="Detail_EVA-October3"/>
      <sheetName val="Road_Maintenance3"/>
      <sheetName val="Materials_Saving3"/>
      <sheetName val="Cumulative_EVA-sep3"/>
      <sheetName val="Main_items3"/>
      <sheetName val="Joseph_Record3"/>
      <sheetName val="Grass_Sodding-Team3"/>
      <sheetName val="BASIC_RATES3"/>
      <sheetName val="Raw_Data3"/>
      <sheetName val="Section_2-SCHEDULE_OF_DAYWORK3"/>
      <sheetName val="Unit_cost-_Drain-Protection-1_3"/>
      <sheetName val="Panels_(DWG)3"/>
      <sheetName val="450_x_3503"/>
      <sheetName val="Bar_Sched2"/>
      <sheetName val="RBDfor_derived_Rates2"/>
      <sheetName val="BILL_SUMMARY2"/>
      <sheetName val="WD-8_Main_pkg_PRT22"/>
      <sheetName val="Mes-Con__work_072"/>
      <sheetName val="Mes_Struc__steel_072"/>
      <sheetName val="F1_&amp;_F22"/>
      <sheetName val="F9_old2"/>
      <sheetName val="Cost_bd-&quot;A&quot;2"/>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
      <sheetName val="NBT_Calculation"/>
      <sheetName val="Main_VO_Summary"/>
      <sheetName val="VO_Sum_Non(New)"/>
      <sheetName val="VO-07_"/>
      <sheetName val="VO-08_"/>
      <sheetName val="450_x_3501"/>
      <sheetName val="Section_2-SCHEDULE_OF_DAYWORK1"/>
      <sheetName val="Unit_cost-_Drain-Protection-1_1"/>
      <sheetName val="Cost_bd-&quot;A&quot;"/>
      <sheetName val="Bar_Sched"/>
      <sheetName val="RBDfor_derived_Rates"/>
      <sheetName val="BILL_SUMMARY"/>
      <sheetName val="WD-8_Main_pkg_PRT2"/>
      <sheetName val="Mes-Con__work_07"/>
      <sheetName val="Mes_Struc__steel_07"/>
      <sheetName val="F1_&amp;_F2"/>
      <sheetName val="F9_old"/>
      <sheetName val="Detail_EVA-October2"/>
      <sheetName val="Road_Maintenance2"/>
      <sheetName val="Materials_Saving2"/>
      <sheetName val="Cumulative_EVA-sep2"/>
      <sheetName val="Main_items2"/>
      <sheetName val="Joseph_Record2"/>
      <sheetName val="Raw_Data2"/>
      <sheetName val="Grass_Sodding-Team2"/>
      <sheetName val="Panels_(DWG)2"/>
      <sheetName val="BASIC_RATES2"/>
      <sheetName val="450_x_3502"/>
      <sheetName val="Section_2-SCHEDULE_OF_DAYWORK2"/>
      <sheetName val="Unit_cost-_Drain-Protection-1_2"/>
      <sheetName val="Cost_bd-&quot;A&quot;1"/>
      <sheetName val="Bar_Sched1"/>
      <sheetName val="RBDfor_derived_Rates1"/>
      <sheetName val="BILL_SUMMARY1"/>
      <sheetName val="WD-8_Main_pkg_PRT21"/>
      <sheetName val="Mes-Con__work_071"/>
      <sheetName val="Mes_Struc__steel_071"/>
      <sheetName val="F1_&amp;_F21"/>
      <sheetName val="F9_old1"/>
      <sheetName val="Cost Factor Sheet"/>
      <sheetName val="Load Sch, Cable Sel &amp; Qty"/>
      <sheetName val="Factor Sheet"/>
      <sheetName val="Price Sheet"/>
      <sheetName val="Kaatsu H.A.M.T.T.C.-7 jan 10"/>
      <sheetName val="JOB COSTING SHEET ELEC"/>
      <sheetName val="Rate Sheet"/>
      <sheetName val="resoces"/>
      <sheetName val="Non_Productive7"/>
      <sheetName val="Detail_EVA-October7"/>
      <sheetName val="Road_Maintenance7"/>
      <sheetName val="Materials_Saving7"/>
      <sheetName val="Cumulative_EVA-sep7"/>
      <sheetName val="Main_items7"/>
      <sheetName val="Joseph_Record7"/>
      <sheetName val="Raw_Data7"/>
      <sheetName val="Grass_Sodding-Team7"/>
      <sheetName val="Panels_(DWG)7"/>
      <sheetName val="BASIC_RATES7"/>
      <sheetName val="450_x_3507"/>
      <sheetName val="Section_2-SCHEDULE_OF_DAYWORK7"/>
      <sheetName val="Unit_cost-_Drain-Protection-1_7"/>
      <sheetName val="Cost_bd-&quot;A&quot;6"/>
      <sheetName val="Bar_Sched6"/>
      <sheetName val="RBDfor_derived_Rates6"/>
      <sheetName val="BILL_SUMMARY6"/>
      <sheetName val="WD-8_Main_pkg_PRT26"/>
      <sheetName val="Mes-Con__work_076"/>
      <sheetName val="Mes_Struc__steel_076"/>
      <sheetName val="F1_&amp;_F26"/>
      <sheetName val="F9_old6"/>
      <sheetName val="Non_Productive6"/>
      <sheetName val="Detail_EVA-October6"/>
      <sheetName val="Road_Maintenance6"/>
      <sheetName val="Materials_Saving6"/>
      <sheetName val="Cumulative_EVA-sep6"/>
      <sheetName val="Main_items6"/>
      <sheetName val="Joseph_Record6"/>
      <sheetName val="Grass_Sodding-Team6"/>
      <sheetName val="BASIC_RATES6"/>
      <sheetName val="Raw_Data6"/>
      <sheetName val="Section_2-SCHEDULE_OF_DAYWORK6"/>
      <sheetName val="Unit_cost-_Drain-Protection-1_6"/>
      <sheetName val="Panels_(DWG)6"/>
      <sheetName val="450_x_3506"/>
      <sheetName val="Bar_Sched5"/>
      <sheetName val="RBDfor_derived_Rates5"/>
      <sheetName val="BILL_SUMMARY5"/>
      <sheetName val="WD-8_Main_pkg_PRT25"/>
      <sheetName val="Mes-Con__work_075"/>
      <sheetName val="Mes_Struc__steel_075"/>
      <sheetName val="F1_&amp;_F25"/>
      <sheetName val="F9_old5"/>
      <sheetName val="Cost_bd-&quot;A&quot;5"/>
      <sheetName val="CODE_LIST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Bill_103"/>
      <sheetName val="NBT_Calculation3"/>
      <sheetName val="Main_VO_Summary3"/>
      <sheetName val="VO_Sum_Non(New)3"/>
      <sheetName val="VO-07_3"/>
      <sheetName val="VO-08_3"/>
      <sheetName val="OLD_PRICES3"/>
      <sheetName val="Non_Productive5"/>
      <sheetName val="Detail_EVA-October5"/>
      <sheetName val="Road_Maintenance5"/>
      <sheetName val="Materials_Saving5"/>
      <sheetName val="Cumulative_EVA-sep5"/>
      <sheetName val="Main_items5"/>
      <sheetName val="Joseph_Record5"/>
      <sheetName val="Grass_Sodding-Team5"/>
      <sheetName val="BASIC_RATES5"/>
      <sheetName val="Raw_Data5"/>
      <sheetName val="Section_2-SCHEDULE_OF_DAYWORK5"/>
      <sheetName val="Unit_cost-_Drain-Protection-1_5"/>
      <sheetName val="Panels_(DWG)5"/>
      <sheetName val="450_x_3505"/>
      <sheetName val="Bar_Sched4"/>
      <sheetName val="RBDfor_derived_Rates4"/>
      <sheetName val="BILL_SUMMARY4"/>
      <sheetName val="WD-8_Main_pkg_PRT24"/>
      <sheetName val="Mes-Con__work_074"/>
      <sheetName val="Mes_Struc__steel_074"/>
      <sheetName val="F1_&amp;_F24"/>
      <sheetName val="F9_old4"/>
      <sheetName val="Cost_bd-&quot;A&quot;4"/>
      <sheetName val="CODE_LIST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Bill_102"/>
      <sheetName val="NBT_Calculation2"/>
      <sheetName val="Main_VO_Summary2"/>
      <sheetName val="VO_Sum_Non(New)2"/>
      <sheetName val="VO-07_2"/>
      <sheetName val="VO-08_2"/>
      <sheetName val="OLD_PRICES2"/>
      <sheetName val="CODE_LIST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4"/>
      <sheetName val="NBT_Calculation4"/>
      <sheetName val="Main_VO_Summary4"/>
      <sheetName val="VO_Sum_Non(New)4"/>
      <sheetName val="VO-07_4"/>
      <sheetName val="VO-08_4"/>
      <sheetName val="OLD_PRICES4"/>
      <sheetName val="Bill No.1"/>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Cost code total"/>
      <sheetName val="Supervisor"/>
      <sheetName val="Vechicle"/>
      <sheetName val="Basic Data"/>
      <sheetName val="5A"/>
      <sheetName val="Tabulations"/>
      <sheetName val="Data"/>
      <sheetName val="Strstl"/>
      <sheetName val="C-7-9-1-J (ESU 1,2,3,4)"/>
      <sheetName val="Non_Productive8"/>
      <sheetName val="Detail_EVA-October8"/>
      <sheetName val="Road_Maintenance8"/>
      <sheetName val="Materials_Saving8"/>
      <sheetName val="Cumulative_EVA-sep8"/>
      <sheetName val="Main_items8"/>
      <sheetName val="Joseph_Record8"/>
      <sheetName val="Grass_Sodding-Team8"/>
      <sheetName val="BASIC_RATES8"/>
      <sheetName val="Raw_Data8"/>
      <sheetName val="Section_2-SCHEDULE_OF_DAYWORK8"/>
      <sheetName val="Unit_cost-_Drain-Protection-1_8"/>
      <sheetName val="Panels_(DWG)8"/>
      <sheetName val="450_x_3508"/>
      <sheetName val="Bar_Sched7"/>
      <sheetName val="RBDfor_derived_Rates7"/>
      <sheetName val="BILL_SUMMARY7"/>
      <sheetName val="WD-8_Main_pkg_PRT27"/>
      <sheetName val="Mes-Con__work_077"/>
      <sheetName val="Mes_Struc__steel_077"/>
      <sheetName val="F1_&amp;_F27"/>
      <sheetName val="F9_old7"/>
      <sheetName val="Cost_bd-&quot;A&quot;7"/>
      <sheetName val="CODE_LIST5"/>
      <sheetName val="F-6_COVER5"/>
      <sheetName val="10_Breakdown_5"/>
      <sheetName val="Exc_Adj5"/>
      <sheetName val="Bill_015"/>
      <sheetName val="Bill_025"/>
      <sheetName val="Bill_035"/>
      <sheetName val="Bill_045"/>
      <sheetName val="Bill_055"/>
      <sheetName val="Bill_065"/>
      <sheetName val="Bill_075"/>
      <sheetName val="Bill_085"/>
      <sheetName val="Bill_095"/>
      <sheetName val="Bill_105"/>
      <sheetName val="NBT_Calculation5"/>
      <sheetName val="Main_VO_Summary5"/>
      <sheetName val="VO_Sum_Non(New)5"/>
      <sheetName val="VO-07_5"/>
      <sheetName val="VO-08_5"/>
      <sheetName val="OLD_PRICES5"/>
      <sheetName val="VL-NC-M"/>
      <sheetName val="Plumbing "/>
      <sheetName val="Furniture"/>
      <sheetName val="10.Linkway"/>
      <sheetName val="11.Bus Shelter-Bay"/>
      <sheetName val="HVAC"/>
      <sheetName val="banilad"/>
      <sheetName val="Mactan"/>
      <sheetName val="Mandaue"/>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Bill 3 - Site Works"/>
      <sheetName val="may_data"/>
      <sheetName val="Factors"/>
      <sheetName val="CONSTANT"/>
      <sheetName val="Material Prices"/>
      <sheetName val="BOQ ACMV-MU"/>
      <sheetName val="SSuppliers"/>
      <sheetName val="bill02"/>
      <sheetName val="G"/>
      <sheetName val="D"/>
      <sheetName val="E"/>
      <sheetName val="Lookups"/>
      <sheetName val="Factor"/>
      <sheetName val="General"/>
      <sheetName val="B-3"/>
      <sheetName val="Tb"/>
      <sheetName val="Material"/>
      <sheetName val="covere"/>
      <sheetName val="Start"/>
      <sheetName val="INPUT"/>
      <sheetName val="Sheet5"/>
      <sheetName val="BOM"/>
      <sheetName val="LET_BAFO"/>
      <sheetName val="Keels-6.2.2014"/>
      <sheetName val="FlowHmgma Grds-9.7.2013-details"/>
      <sheetName val="3.Labour"/>
      <sheetName val="1.Material"/>
      <sheetName val="MMI"/>
      <sheetName val="2.Machinery"/>
      <sheetName val="6MONTHS"/>
      <sheetName val="2005 - GAAP"/>
      <sheetName val="MDB-25.8.2014"/>
      <sheetName val="概総括1"/>
      <sheetName val="total components with Rates"/>
      <sheetName val="WB"/>
      <sheetName val="Product Groups"/>
      <sheetName val="Room Type"/>
      <sheetName val="Basement2 DB"/>
      <sheetName val="DUTY FREE-DF VAT"/>
      <sheetName val="Calc Inputs"/>
      <sheetName val="Financial Analysis"/>
      <sheetName val="대비"/>
      <sheetName val="준검 내역서"/>
      <sheetName val="Total All By Trades highest 1st"/>
      <sheetName val="BULD.3"/>
      <sheetName val="Breakdown"/>
      <sheetName val="Contents"/>
      <sheetName val="Electrical"/>
      <sheetName val="A CONDITIONS"/>
      <sheetName val="D-3"/>
      <sheetName val="1.2 Staff Schedule"/>
      <sheetName val="#REF"/>
      <sheetName val="SystemData"/>
      <sheetName val="Non_Productive9"/>
      <sheetName val="Detail_EVA-October9"/>
      <sheetName val="Road_Maintenance9"/>
      <sheetName val="Materials_Saving9"/>
      <sheetName val="Cumulative_EVA-sep9"/>
      <sheetName val="Main_items9"/>
      <sheetName val="Joseph_Record9"/>
      <sheetName val="Grass_Sodding-Team9"/>
      <sheetName val="BASIC_RATES9"/>
      <sheetName val="Raw_Data9"/>
      <sheetName val="Panels_(DWG)9"/>
      <sheetName val="450_x_3509"/>
      <sheetName val="Section_2-SCHEDULE_OF_DAYWORK9"/>
      <sheetName val="Unit_cost-_Drain-Protection-1_9"/>
      <sheetName val="Bar_Sched8"/>
      <sheetName val="CODE_LIST6"/>
      <sheetName val="F-6_COVER6"/>
      <sheetName val="10_Breakdown_6"/>
      <sheetName val="Exc_Adj6"/>
      <sheetName val="Bill_016"/>
      <sheetName val="Bill_026"/>
      <sheetName val="Bill_036"/>
      <sheetName val="Bill_046"/>
      <sheetName val="Bill_056"/>
      <sheetName val="Bill_066"/>
      <sheetName val="Bill_076"/>
      <sheetName val="Bill_086"/>
      <sheetName val="Bill_096"/>
      <sheetName val="Bill_106"/>
      <sheetName val="NBT_Calculation6"/>
      <sheetName val="Main_VO_Summary6"/>
      <sheetName val="VO_Sum_Non(New)6"/>
      <sheetName val="VO-07_6"/>
      <sheetName val="VO-08_6"/>
      <sheetName val="RBDfor_derived_Rates8"/>
      <sheetName val="BILL_SUMMARY8"/>
      <sheetName val="WD-8_Main_pkg_PRT28"/>
      <sheetName val="Mes-Con__work_078"/>
      <sheetName val="Mes_Struc__steel_078"/>
      <sheetName val="F1_&amp;_F28"/>
      <sheetName val="F9_old8"/>
      <sheetName val="OLD_PRICES6"/>
      <sheetName val="Cost_bd-&quot;A&quot;8"/>
      <sheetName val="Cost_Factor_Sheet"/>
      <sheetName val="Load_Sch,_Cable_Sel_&amp;_Qty"/>
      <sheetName val="Factor_Sheet"/>
      <sheetName val="Price_Sheet"/>
      <sheetName val="Kaatsu_H_A_M_T_T_C_-7_jan_10"/>
      <sheetName val="JOB_COSTING_SHEET_ELEC"/>
      <sheetName val="Rate_Sheet"/>
      <sheetName val="BOQ_100A"/>
      <sheetName val="BOQ_100B"/>
      <sheetName val="BOQ_200"/>
      <sheetName val="BOQ_300"/>
      <sheetName val="BOQ_400"/>
      <sheetName val="BOQ_550A"/>
      <sheetName val="550B_summa"/>
      <sheetName val="BOQ_550B-200"/>
      <sheetName val="BOQ_550B-550"/>
      <sheetName val="BOQ_550B-600"/>
      <sheetName val="BOQ_550D"/>
      <sheetName val="BOQ_600"/>
      <sheetName val="BOQ_800_Summ"/>
      <sheetName val="BOQ_800_1"/>
      <sheetName val="BOQ_800_2"/>
      <sheetName val="BOQ_800_3"/>
      <sheetName val="BOQ_900"/>
      <sheetName val="Valesco_Paste"/>
      <sheetName val="B_100"/>
      <sheetName val="Lead_(Final)"/>
      <sheetName val="10_Linkway"/>
      <sheetName val="11_Bus_Shelter-Bay"/>
      <sheetName val="11B_"/>
      <sheetName val="Bill_3_-_Site_Works"/>
      <sheetName val=""/>
      <sheetName val="P-Sum-Cab"/>
      <sheetName val="QTY Pipe Laying"/>
      <sheetName val="13A"/>
      <sheetName val="2"/>
      <sheetName val="Cost_code_total"/>
      <sheetName val="C-7-9-1-J_(ESU_1,2,3,4)"/>
      <sheetName val="Valesco_Paste1"/>
      <sheetName val="B_1001"/>
      <sheetName val="BOQ_100A1"/>
      <sheetName val="BOQ_100B1"/>
      <sheetName val="BOQ_2001"/>
      <sheetName val="BOQ_3001"/>
      <sheetName val="BOQ_4001"/>
      <sheetName val="BOQ_550A1"/>
      <sheetName val="550B_summa1"/>
      <sheetName val="BOQ_550B-2001"/>
      <sheetName val="BOQ_550B-5501"/>
      <sheetName val="BOQ_550B-6001"/>
      <sheetName val="BOQ_550D1"/>
      <sheetName val="BOQ_6001"/>
      <sheetName val="BOQ_800_Summ1"/>
      <sheetName val="BOQ_800_11"/>
      <sheetName val="BOQ_800_21"/>
      <sheetName val="BOQ_800_31"/>
      <sheetName val="BOQ_9001"/>
      <sheetName val="Lead_(Final)1"/>
      <sheetName val="Cost_code_total1"/>
      <sheetName val="C-7-9-1-J_(ESU_1,2,3,4)1"/>
      <sheetName val="Valesco_Paste2"/>
      <sheetName val="B_1002"/>
      <sheetName val="BOQ_100A2"/>
      <sheetName val="BOQ_100B2"/>
      <sheetName val="BOQ_2002"/>
      <sheetName val="BOQ_3002"/>
      <sheetName val="BOQ_4002"/>
      <sheetName val="BOQ_550A2"/>
      <sheetName val="550B_summa2"/>
      <sheetName val="BOQ_550B-2002"/>
      <sheetName val="BOQ_550B-5502"/>
      <sheetName val="BOQ_550B-6002"/>
      <sheetName val="BOQ_550D2"/>
      <sheetName val="BOQ_6002"/>
      <sheetName val="BOQ_800_Summ2"/>
      <sheetName val="BOQ_800_12"/>
      <sheetName val="BOQ_800_22"/>
      <sheetName val="BOQ_800_32"/>
      <sheetName val="BOQ_9002"/>
      <sheetName val="Lead_(Final)2"/>
      <sheetName val="Cost_code_total2"/>
      <sheetName val="C-7-9-1-J_(ESU_1,2,3,4)2"/>
      <sheetName val="PROSUM"/>
      <sheetName val="Seachells-Pools-25.2.2014"/>
      <sheetName val="PI-KBR.WB"/>
      <sheetName val="35"/>
      <sheetName val="BOQ-ELECTRICAL"/>
      <sheetName val="Manpower"/>
      <sheetName val="Equipment"/>
      <sheetName val="BOQ AC"/>
      <sheetName val="BK Unit Rate"/>
      <sheetName val="Homagama Grounds-9.7.2013"/>
      <sheetName val="B-3.2 EB"/>
      <sheetName val="ANL"/>
      <sheetName val="MACHINERY"/>
      <sheetName val="SUBCON OR OTHER"/>
      <sheetName val="ACS(1)"/>
      <sheetName val="FAS-C(4)"/>
      <sheetName val="CCTV(old)"/>
      <sheetName val="M - S"/>
      <sheetName val="Histry Price"/>
      <sheetName val="BOI - Katunayaka-9.8.2013"/>
      <sheetName val="dropdown data"/>
      <sheetName val="Backlog Consol"/>
      <sheetName val="Oracle Account Master"/>
      <sheetName val="HyperionEnt"/>
      <sheetName val="CQ by Entity"/>
      <sheetName val="FY by Entity"/>
      <sheetName val="INDEX"/>
      <sheetName val="NQ by Entity"/>
      <sheetName val="CQ Bridge"/>
      <sheetName val="CQ Orders"/>
      <sheetName val="Org Growth"/>
      <sheetName val="Monthly Trend Act MOR pv"/>
      <sheetName val="d-safe specs"/>
      <sheetName val="apr_data"/>
      <sheetName val="NATION"/>
      <sheetName val="LS Price List"/>
      <sheetName val="JOB_COSTING_SHEET_ELEC1"/>
      <sheetName val="JOB_COSTING_SHEET_ELEC2"/>
      <sheetName val="Enclo.compar.EMP-RND"/>
      <sheetName val="sum-all"/>
      <sheetName val="ABSTRACT"/>
      <sheetName val="MCB"/>
      <sheetName val="Valible One B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refreshError="1"/>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sheetData sheetId="777"/>
      <sheetData sheetId="778" refreshError="1"/>
      <sheetData sheetId="779" refreshError="1"/>
      <sheetData sheetId="780" refreshError="1"/>
      <sheetData sheetId="781" refreshError="1"/>
      <sheetData sheetId="78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 No 1"/>
      <sheetName val="BOQ2"/>
      <sheetName val="BOQ3"/>
      <sheetName val="Estimate"/>
      <sheetName val="Temp"/>
      <sheetName val="Labour"/>
      <sheetName val="Equipment"/>
      <sheetName val="Material"/>
      <sheetName val="Rates"/>
      <sheetName val="BOQ"/>
    </sheetNames>
    <sheetDataSet>
      <sheetData sheetId="0"/>
      <sheetData sheetId="1"/>
      <sheetData sheetId="2"/>
      <sheetData sheetId="3"/>
      <sheetData sheetId="4"/>
      <sheetData sheetId="5"/>
      <sheetData sheetId="6"/>
      <sheetData sheetId="7"/>
      <sheetData sheetId="8">
        <row r="4">
          <cell r="K4">
            <v>0</v>
          </cell>
          <cell r="L4" t="str">
            <v>100+</v>
          </cell>
          <cell r="M4">
            <v>0.1</v>
          </cell>
        </row>
        <row r="5">
          <cell r="K5">
            <v>100</v>
          </cell>
          <cell r="L5" t="str">
            <v>500+</v>
          </cell>
          <cell r="M5">
            <v>0.25</v>
          </cell>
        </row>
        <row r="6">
          <cell r="K6">
            <v>500</v>
          </cell>
          <cell r="L6" t="str">
            <v>1000+</v>
          </cell>
          <cell r="M6">
            <v>0.5</v>
          </cell>
        </row>
        <row r="7">
          <cell r="K7">
            <v>1000</v>
          </cell>
          <cell r="M7">
            <v>1</v>
          </cell>
        </row>
      </sheetData>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I-clearing"/>
      <sheetName val="RFI-tree"/>
      <sheetName val="RFI-ex"/>
      <sheetName val="RFI-trim"/>
      <sheetName val="RFI-Emb"/>
      <sheetName val="RFI-fw"/>
      <sheetName val="RFI-fw -RW"/>
      <sheetName val="FW-drain"/>
      <sheetName val="steel-bridge"/>
      <sheetName val="Steel-RW"/>
      <sheetName val="steel-drain"/>
      <sheetName val="15-bridge"/>
      <sheetName val="15-RW"/>
      <sheetName val="15-drain"/>
      <sheetName val="25-RW"/>
      <sheetName val="25-drain"/>
      <sheetName val="30-RW"/>
      <sheetName val="Cover pages"/>
    </sheetNames>
    <definedNames>
      <definedName name="InsertLogo"/>
      <definedName name="insertLt"/>
      <definedName name="sheetbutton"/>
      <definedName name="sheetbutton1"/>
      <definedName name="SignDLG"/>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GS (C)"/>
      <sheetName val="IPC (C)"/>
      <sheetName val="CLAIMS"/>
      <sheetName val="com"/>
      <sheetName val="IPC"/>
      <sheetName val="GS"/>
      <sheetName val="ADP"/>
      <sheetName val="PF"/>
      <sheetName val=" IPC's"/>
      <sheetName val="B1"/>
      <sheetName val="B2"/>
      <sheetName val="B3"/>
      <sheetName val="B4"/>
      <sheetName val="B5"/>
      <sheetName val="B6"/>
      <sheetName val="B7"/>
      <sheetName val="B8.1"/>
      <sheetName val="B8.2"/>
      <sheetName val="B8.3"/>
      <sheetName val="B9"/>
      <sheetName val="9.3.1 "/>
      <sheetName val="N-A PS"/>
      <sheetName val="VNA"/>
      <sheetName val="VStatus"/>
      <sheetName val="VS"/>
      <sheetName val="V1"/>
      <sheetName val="V2"/>
      <sheetName val="V3"/>
      <sheetName val="V4"/>
      <sheetName val="V6 "/>
      <sheetName val="V7"/>
      <sheetName val="V8"/>
      <sheetName val="V9"/>
      <sheetName val="V11 "/>
      <sheetName val="V12"/>
      <sheetName val="V15"/>
      <sheetName val="aaaa"/>
      <sheetName val="aasdad"/>
    </sheetNames>
    <sheetDataSet>
      <sheetData sheetId="0"/>
      <sheetData sheetId="1" refreshError="1"/>
      <sheetData sheetId="2" refreshError="1"/>
      <sheetData sheetId="3" refreshError="1"/>
      <sheetData sheetId="4"/>
      <sheetData sheetId="5"/>
      <sheetData sheetId="6"/>
      <sheetData sheetId="7">
        <row r="92">
          <cell r="F92">
            <v>0</v>
          </cell>
        </row>
      </sheetData>
      <sheetData sheetId="8"/>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y Sheet"/>
      <sheetName val="Application"/>
      <sheetName val="Variations"/>
      <sheetName val="BOQ Summary"/>
      <sheetName val="Price Adjustment"/>
      <sheetName val="Rec. of Adv"/>
      <sheetName val="wording"/>
      <sheetName val="Payment Application (empty)"/>
      <sheetName val="Mat @ Site (2)"/>
      <sheetName val="Previous Payments"/>
      <sheetName val="ABC(2)"/>
      <sheetName val="ABC (2). (2)"/>
      <sheetName val="B-01"/>
      <sheetName val="B-02"/>
      <sheetName val="B-03"/>
      <sheetName val="B-04"/>
      <sheetName val="B-05"/>
      <sheetName val="B-06"/>
      <sheetName val="B-07"/>
      <sheetName val="B-08"/>
      <sheetName val="B-08-1"/>
      <sheetName val="B-08-2"/>
      <sheetName val="B-08-3"/>
      <sheetName val="B-08-3(224-6)"/>
      <sheetName val="B-08-3(230-1)"/>
      <sheetName val="B-08-3(233-3)"/>
      <sheetName val="B-08-3(233-4)"/>
      <sheetName val="B-08-3(242-1)"/>
      <sheetName val="B-08-3(242-2)"/>
      <sheetName val="B-08-3(242-3)"/>
      <sheetName val="B-08-3(247-2)"/>
      <sheetName val="B-08-3(249-1)"/>
      <sheetName val="B-08-3(252-2)"/>
      <sheetName val="B-09"/>
      <sheetName val="B-10"/>
      <sheetName val="B-11.1"/>
      <sheetName val="B-11.2"/>
      <sheetName val="B-11.3"/>
      <sheetName val="Sheet1"/>
    </sheetNames>
    <sheetDataSet>
      <sheetData sheetId="0"/>
      <sheetData sheetId="1"/>
      <sheetData sheetId="2"/>
      <sheetData sheetId="3">
        <row r="4">
          <cell r="G4" t="str">
            <v>No. 35</v>
          </cell>
        </row>
        <row r="5">
          <cell r="G5" t="str">
            <v>31st May  2021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ertificate"/>
      <sheetName val="Summary"/>
      <sheetName val="Bill 1"/>
      <sheetName val="Bill 2"/>
      <sheetName val="Bill 3"/>
      <sheetName val="Bill 4"/>
      <sheetName val="Bill 5"/>
      <sheetName val="Bill 6"/>
      <sheetName val="Bill 7-B1 "/>
      <sheetName val="Bill 7-7B2 "/>
      <sheetName val="Bill 7-7B3"/>
      <sheetName val="Bill 7-7B4"/>
      <sheetName val="Bill 7-7B5"/>
      <sheetName val="Bill 8"/>
      <sheetName val="Bill 9.1"/>
      <sheetName val="Bill 9.2"/>
      <sheetName val="Bill 9.3"/>
      <sheetName val="Bill 10"/>
      <sheetName val="Variation Summary"/>
      <sheetName val="Claim Summary"/>
      <sheetName val="Price Fluctuation"/>
      <sheetName val="Retention"/>
      <sheetName val="Material on Site"/>
      <sheetName val="Rec Adv Pay-1"/>
      <sheetName val="PS Summary"/>
    </sheetNames>
    <sheetDataSet>
      <sheetData sheetId="0"/>
      <sheetData sheetId="1"/>
      <sheetData sheetId="2">
        <row r="1">
          <cell r="A1" t="str">
            <v>CONTRACT NAME</v>
          </cell>
        </row>
        <row r="2">
          <cell r="A2" t="str">
            <v/>
          </cell>
        </row>
        <row r="4">
          <cell r="A4" t="str">
            <v>CONTRACT NO</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 /></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 /></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 /></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 /></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 /></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 /></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 /></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 /></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 /></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 /></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 /></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Q65"/>
  <sheetViews>
    <sheetView view="pageBreakPreview" zoomScaleSheetLayoutView="100" workbookViewId="0">
      <selection activeCell="H23" sqref="H22:H23"/>
    </sheetView>
  </sheetViews>
  <sheetFormatPr defaultColWidth="9.3046875" defaultRowHeight="15"/>
  <cols>
    <col min="1" max="1" width="15.37109375" style="249" customWidth="1"/>
    <col min="2" max="2" width="9.9765625" style="249" customWidth="1"/>
    <col min="3" max="3" width="9.3046875" style="249"/>
    <col min="4" max="4" width="7.953125" style="249" customWidth="1"/>
    <col min="5" max="5" width="20.6328125" style="249" customWidth="1"/>
    <col min="6" max="6" width="1.88671875" style="249" customWidth="1"/>
    <col min="7" max="7" width="19.41796875" style="249" customWidth="1"/>
    <col min="8" max="8" width="18.87890625" style="249" customWidth="1"/>
    <col min="9" max="9" width="9.3046875" style="249"/>
    <col min="10" max="10" width="22.11328125" style="249" customWidth="1"/>
    <col min="11" max="11" width="16.046875" style="249" customWidth="1"/>
    <col min="12" max="12" width="20.765625" style="249" customWidth="1"/>
    <col min="13" max="13" width="9.57421875" style="249" bestFit="1" customWidth="1"/>
    <col min="14" max="16384" width="9.3046875" style="249"/>
  </cols>
  <sheetData>
    <row r="1" spans="1:17" s="211" customFormat="1" ht="28.5" customHeight="1">
      <c r="A1" s="538" t="s">
        <v>737</v>
      </c>
      <c r="B1" s="539"/>
      <c r="C1" s="539"/>
      <c r="D1" s="539"/>
      <c r="E1" s="539"/>
      <c r="F1" s="539"/>
      <c r="G1" s="539"/>
      <c r="H1" s="540"/>
      <c r="J1" s="541" t="s">
        <v>693</v>
      </c>
      <c r="K1" s="542"/>
      <c r="L1" s="542"/>
      <c r="M1" s="542"/>
      <c r="N1" s="542"/>
      <c r="O1" s="542"/>
      <c r="P1" s="542"/>
      <c r="Q1" s="543"/>
    </row>
    <row r="2" spans="1:17" s="211" customFormat="1" ht="6.75" customHeight="1">
      <c r="A2" s="544"/>
      <c r="B2" s="545"/>
      <c r="C2" s="545"/>
      <c r="D2" s="545"/>
      <c r="E2" s="545"/>
      <c r="F2" s="545"/>
      <c r="G2" s="545"/>
      <c r="H2" s="546"/>
    </row>
    <row r="3" spans="1:17" s="213" customFormat="1" ht="16.5" customHeight="1">
      <c r="A3" s="212" t="s">
        <v>694</v>
      </c>
      <c r="B3" s="470" t="s">
        <v>732</v>
      </c>
      <c r="C3" s="471"/>
      <c r="D3" s="471"/>
      <c r="E3" s="471"/>
      <c r="F3" s="472" t="s">
        <v>695</v>
      </c>
      <c r="G3" s="472"/>
      <c r="H3" s="221" t="s">
        <v>815</v>
      </c>
    </row>
    <row r="4" spans="1:17" s="213" customFormat="1" ht="13.5" customHeight="1">
      <c r="A4" s="212"/>
      <c r="B4" s="470" t="s">
        <v>733</v>
      </c>
      <c r="C4" s="470"/>
      <c r="D4" s="470"/>
      <c r="E4" s="472"/>
      <c r="F4" s="472"/>
      <c r="G4" s="472"/>
      <c r="H4" s="214"/>
      <c r="J4" s="215"/>
      <c r="K4" s="215"/>
      <c r="L4" s="215"/>
    </row>
    <row r="5" spans="1:17" s="213" customFormat="1" ht="13.5" customHeight="1">
      <c r="A5" s="216"/>
      <c r="B5" s="470" t="s">
        <v>734</v>
      </c>
      <c r="C5" s="470"/>
      <c r="D5" s="470"/>
      <c r="E5" s="472"/>
      <c r="F5" s="472" t="s">
        <v>696</v>
      </c>
      <c r="G5" s="472"/>
      <c r="H5" s="221" t="s">
        <v>821</v>
      </c>
      <c r="J5" s="215"/>
      <c r="K5" s="215"/>
      <c r="L5" s="215"/>
    </row>
    <row r="6" spans="1:17" s="213" customFormat="1" ht="13.5" customHeight="1">
      <c r="A6" s="216"/>
      <c r="B6" s="470"/>
      <c r="C6" s="470"/>
      <c r="D6" s="470"/>
      <c r="E6" s="472"/>
      <c r="F6" s="472"/>
      <c r="G6" s="473"/>
      <c r="H6" s="217"/>
      <c r="J6" s="215"/>
      <c r="K6" s="215"/>
      <c r="L6" s="215"/>
    </row>
    <row r="7" spans="1:17" s="213" customFormat="1" ht="3.75" customHeight="1">
      <c r="A7" s="218"/>
      <c r="B7" s="474"/>
      <c r="C7" s="474"/>
      <c r="D7" s="474"/>
      <c r="E7" s="475"/>
      <c r="F7" s="475"/>
      <c r="G7" s="476"/>
      <c r="H7" s="219"/>
      <c r="J7" s="215"/>
      <c r="K7" s="215"/>
      <c r="L7" s="215"/>
    </row>
    <row r="8" spans="1:17" s="213" customFormat="1" ht="16.5" thickBot="1">
      <c r="A8" s="212" t="s">
        <v>697</v>
      </c>
      <c r="B8" s="472" t="s">
        <v>735</v>
      </c>
      <c r="C8" s="472"/>
      <c r="D8" s="472"/>
      <c r="E8" s="472"/>
      <c r="F8" s="472" t="s">
        <v>698</v>
      </c>
      <c r="G8" s="472"/>
      <c r="H8" s="252" t="s">
        <v>822</v>
      </c>
      <c r="I8" s="220"/>
      <c r="J8" s="215"/>
      <c r="K8" s="215"/>
      <c r="L8" s="215"/>
    </row>
    <row r="9" spans="1:17" s="213" customFormat="1" ht="13.5">
      <c r="A9" s="212"/>
      <c r="B9" s="215"/>
      <c r="C9" s="215"/>
      <c r="D9" s="215"/>
      <c r="E9" s="215"/>
      <c r="G9" s="472"/>
      <c r="H9" s="221"/>
    </row>
    <row r="10" spans="1:17" s="213" customFormat="1" ht="15.75">
      <c r="A10" s="212" t="s">
        <v>700</v>
      </c>
      <c r="B10" s="470" t="s">
        <v>701</v>
      </c>
      <c r="C10" s="470"/>
      <c r="D10" s="472"/>
      <c r="E10" s="472"/>
      <c r="F10" s="215" t="s">
        <v>702</v>
      </c>
      <c r="G10" s="470"/>
      <c r="H10" s="252" t="s">
        <v>825</v>
      </c>
      <c r="N10" s="213" t="s">
        <v>316</v>
      </c>
    </row>
    <row r="11" spans="1:17" s="213" customFormat="1" ht="13.5">
      <c r="A11" s="216"/>
      <c r="B11" s="472"/>
      <c r="C11" s="472"/>
      <c r="D11" s="472"/>
      <c r="E11" s="472"/>
      <c r="G11" s="472"/>
      <c r="H11" s="214"/>
    </row>
    <row r="12" spans="1:17" s="213" customFormat="1" ht="13.5">
      <c r="A12" s="212" t="s">
        <v>703</v>
      </c>
      <c r="B12" s="477" t="s">
        <v>699</v>
      </c>
      <c r="C12" s="478"/>
      <c r="D12" s="478"/>
      <c r="E12" s="470"/>
      <c r="F12" s="470" t="s">
        <v>704</v>
      </c>
      <c r="G12" s="470"/>
      <c r="H12" s="221" t="s">
        <v>738</v>
      </c>
      <c r="J12" s="222"/>
    </row>
    <row r="13" spans="1:17" s="213" customFormat="1" ht="13.5">
      <c r="A13" s="212"/>
      <c r="B13" s="215"/>
      <c r="C13" s="215"/>
      <c r="D13" s="215"/>
      <c r="E13" s="215"/>
      <c r="G13" s="472"/>
      <c r="H13" s="221"/>
      <c r="J13" s="223"/>
      <c r="L13" s="224"/>
    </row>
    <row r="14" spans="1:17" s="213" customFormat="1" ht="13.5">
      <c r="A14" s="212" t="s">
        <v>705</v>
      </c>
      <c r="B14" s="470" t="s">
        <v>736</v>
      </c>
      <c r="C14" s="215"/>
      <c r="D14" s="215"/>
      <c r="E14" s="215"/>
      <c r="F14" s="470" t="s">
        <v>706</v>
      </c>
      <c r="G14" s="470"/>
      <c r="H14" s="252" t="s">
        <v>823</v>
      </c>
    </row>
    <row r="15" spans="1:17" s="213" customFormat="1" ht="13.5">
      <c r="A15" s="216"/>
      <c r="E15" s="225"/>
      <c r="G15" s="472"/>
      <c r="H15" s="221"/>
      <c r="J15" s="226"/>
    </row>
    <row r="16" spans="1:17" s="213" customFormat="1" ht="13.5">
      <c r="A16" s="212" t="s">
        <v>707</v>
      </c>
      <c r="B16" s="478" t="s">
        <v>824</v>
      </c>
      <c r="C16" s="478"/>
      <c r="D16" s="478"/>
      <c r="E16" s="215"/>
      <c r="F16" s="215" t="s">
        <v>708</v>
      </c>
      <c r="G16" s="470"/>
      <c r="H16" s="221" t="s">
        <v>739</v>
      </c>
      <c r="J16" s="227">
        <f>GS!E29*0.05</f>
        <v>91275910.549999997</v>
      </c>
    </row>
    <row r="17" spans="1:11" s="213" customFormat="1" ht="13.5">
      <c r="A17" s="228"/>
      <c r="B17" s="479"/>
      <c r="C17" s="479"/>
      <c r="D17" s="479"/>
      <c r="E17" s="479"/>
      <c r="F17" s="215"/>
      <c r="G17" s="470"/>
      <c r="H17" s="221"/>
      <c r="J17" s="251">
        <v>44810</v>
      </c>
      <c r="K17" s="251">
        <f>J17+28</f>
        <v>44838</v>
      </c>
    </row>
    <row r="18" spans="1:11" s="211" customFormat="1" ht="3.75" customHeight="1">
      <c r="A18" s="480"/>
      <c r="B18" s="481"/>
      <c r="C18" s="481"/>
      <c r="D18" s="481"/>
      <c r="E18" s="481"/>
      <c r="F18" s="482"/>
      <c r="G18" s="482"/>
      <c r="H18" s="483"/>
    </row>
    <row r="19" spans="1:11" s="211" customFormat="1" ht="5.25" customHeight="1">
      <c r="A19" s="229"/>
      <c r="B19" s="484"/>
      <c r="C19" s="484"/>
      <c r="D19" s="484"/>
      <c r="E19" s="484"/>
      <c r="F19" s="484"/>
      <c r="G19" s="547"/>
      <c r="H19" s="548"/>
    </row>
    <row r="20" spans="1:11" s="211" customFormat="1" ht="15.95" customHeight="1">
      <c r="A20" s="218" t="s">
        <v>709</v>
      </c>
      <c r="B20" s="485"/>
      <c r="C20" s="485"/>
      <c r="D20" s="485"/>
      <c r="E20" s="485"/>
      <c r="F20" s="485"/>
      <c r="G20" s="486"/>
      <c r="H20" s="230">
        <v>0</v>
      </c>
      <c r="J20" s="224"/>
      <c r="K20" s="231"/>
    </row>
    <row r="21" spans="1:11" s="211" customFormat="1" ht="9.75" customHeight="1">
      <c r="A21" s="218"/>
      <c r="B21" s="485"/>
      <c r="C21" s="485"/>
      <c r="D21" s="485"/>
      <c r="E21" s="485"/>
      <c r="F21" s="485"/>
      <c r="G21" s="486"/>
      <c r="H21" s="232"/>
    </row>
    <row r="22" spans="1:11" s="211" customFormat="1" ht="15.95" customHeight="1">
      <c r="A22" s="218" t="s">
        <v>710</v>
      </c>
      <c r="B22" s="485"/>
      <c r="C22" s="485"/>
      <c r="D22" s="485"/>
      <c r="E22" s="485"/>
      <c r="F22" s="485"/>
      <c r="G22" s="484"/>
      <c r="H22" s="230" t="e">
        <f>GS!#REF!</f>
        <v>#REF!</v>
      </c>
      <c r="J22" s="233"/>
      <c r="K22" s="233"/>
    </row>
    <row r="23" spans="1:11" s="211" customFormat="1" ht="12.75" customHeight="1">
      <c r="A23" s="229" t="s">
        <v>711</v>
      </c>
      <c r="B23" s="487"/>
      <c r="C23" s="487"/>
      <c r="D23" s="487"/>
      <c r="E23" s="487"/>
      <c r="F23" s="487"/>
      <c r="G23" s="486"/>
      <c r="H23" s="232"/>
    </row>
    <row r="24" spans="1:11" s="211" customFormat="1" ht="11.25" customHeight="1">
      <c r="A24" s="218"/>
      <c r="B24" s="485"/>
      <c r="C24" s="485"/>
      <c r="D24" s="485"/>
      <c r="E24" s="485"/>
      <c r="F24" s="485"/>
      <c r="G24" s="486"/>
      <c r="H24" s="232"/>
    </row>
    <row r="25" spans="1:11" s="211" customFormat="1" ht="15.95" customHeight="1">
      <c r="A25" s="218" t="s">
        <v>712</v>
      </c>
      <c r="B25" s="485"/>
      <c r="C25" s="485"/>
      <c r="E25" s="475" t="s">
        <v>713</v>
      </c>
      <c r="F25" s="485"/>
      <c r="G25" s="486"/>
      <c r="H25" s="230" t="e">
        <f>GS!#REF!</f>
        <v>#REF!</v>
      </c>
      <c r="J25" s="233"/>
    </row>
    <row r="26" spans="1:11" s="211" customFormat="1" ht="11.25" customHeight="1">
      <c r="A26" s="218"/>
      <c r="B26" s="485"/>
      <c r="C26" s="485"/>
      <c r="D26" s="485"/>
      <c r="E26" s="485"/>
      <c r="F26" s="485"/>
      <c r="G26" s="486"/>
      <c r="H26" s="232"/>
    </row>
    <row r="27" spans="1:11" s="211" customFormat="1" ht="15.95" customHeight="1">
      <c r="A27" s="218" t="s">
        <v>714</v>
      </c>
      <c r="B27" s="485"/>
      <c r="C27" s="485"/>
      <c r="D27" s="485"/>
      <c r="E27" s="485"/>
      <c r="F27" s="485"/>
      <c r="G27" s="486"/>
      <c r="H27" s="230" t="e">
        <f>H22+H25</f>
        <v>#REF!</v>
      </c>
      <c r="J27" s="233"/>
      <c r="K27" s="233"/>
    </row>
    <row r="28" spans="1:11" s="211" customFormat="1" ht="10.5" customHeight="1">
      <c r="A28" s="218"/>
      <c r="B28" s="485"/>
      <c r="C28" s="485"/>
      <c r="D28" s="485"/>
      <c r="E28" s="485"/>
      <c r="F28" s="485"/>
      <c r="G28" s="486"/>
      <c r="H28" s="232" t="s">
        <v>715</v>
      </c>
      <c r="J28" s="233"/>
    </row>
    <row r="29" spans="1:11" s="211" customFormat="1" ht="15.95" customHeight="1">
      <c r="A29" s="218" t="s">
        <v>716</v>
      </c>
      <c r="B29" s="485"/>
      <c r="C29" s="485"/>
      <c r="D29" s="485"/>
      <c r="E29" s="485"/>
      <c r="F29" s="485"/>
      <c r="G29" s="486"/>
      <c r="H29" s="230" t="e">
        <f>-H27*0.1</f>
        <v>#REF!</v>
      </c>
      <c r="J29" s="233"/>
    </row>
    <row r="30" spans="1:11" s="211" customFormat="1" ht="12" customHeight="1">
      <c r="A30" s="549"/>
      <c r="B30" s="550"/>
      <c r="C30" s="550"/>
      <c r="D30" s="550"/>
      <c r="E30" s="550"/>
      <c r="F30" s="550"/>
      <c r="G30" s="550"/>
      <c r="H30" s="232"/>
      <c r="K30" s="234"/>
    </row>
    <row r="31" spans="1:11" s="211" customFormat="1" ht="15.95" customHeight="1">
      <c r="A31" s="218" t="s">
        <v>717</v>
      </c>
      <c r="B31" s="485"/>
      <c r="C31" s="485"/>
      <c r="D31" s="485"/>
      <c r="E31" s="485"/>
      <c r="F31" s="485"/>
      <c r="G31" s="486"/>
      <c r="H31" s="230" t="e">
        <f>H27+H29</f>
        <v>#REF!</v>
      </c>
      <c r="J31" s="233"/>
    </row>
    <row r="32" spans="1:11" s="211" customFormat="1" ht="10.5" customHeight="1">
      <c r="A32" s="218"/>
      <c r="B32" s="485"/>
      <c r="C32" s="485"/>
      <c r="D32" s="485"/>
      <c r="E32" s="485"/>
      <c r="F32" s="485"/>
      <c r="G32" s="486"/>
      <c r="H32" s="232"/>
      <c r="J32" s="233"/>
    </row>
    <row r="33" spans="1:13" s="211" customFormat="1" ht="15.95" customHeight="1">
      <c r="A33" s="218" t="s">
        <v>718</v>
      </c>
      <c r="B33" s="485"/>
      <c r="C33" s="485"/>
      <c r="D33" s="485"/>
      <c r="E33" s="485"/>
      <c r="F33" s="485"/>
      <c r="G33" s="486"/>
      <c r="H33" s="230">
        <f>'Mat @ Site (2)'!R45</f>
        <v>0</v>
      </c>
      <c r="J33" s="233"/>
    </row>
    <row r="34" spans="1:13" s="211" customFormat="1" ht="11.25" customHeight="1">
      <c r="A34" s="218"/>
      <c r="B34" s="485"/>
      <c r="C34" s="485"/>
      <c r="D34" s="485"/>
      <c r="E34" s="485"/>
      <c r="F34" s="485"/>
      <c r="G34" s="486"/>
      <c r="H34" s="232"/>
      <c r="K34" s="233"/>
    </row>
    <row r="35" spans="1:13" s="211" customFormat="1" ht="15.95" customHeight="1">
      <c r="A35" s="218" t="s">
        <v>719</v>
      </c>
      <c r="B35" s="485"/>
      <c r="C35" s="485"/>
      <c r="D35" s="485"/>
      <c r="E35" s="485"/>
      <c r="F35" s="485"/>
      <c r="G35" s="488"/>
      <c r="H35" s="230" t="e">
        <f>H31+H33</f>
        <v>#REF!</v>
      </c>
      <c r="J35" s="222"/>
      <c r="K35" s="233"/>
    </row>
    <row r="36" spans="1:13" s="211" customFormat="1" ht="11.25" customHeight="1">
      <c r="A36" s="218"/>
      <c r="B36" s="485"/>
      <c r="C36" s="485"/>
      <c r="D36" s="485"/>
      <c r="E36" s="485"/>
      <c r="F36" s="485"/>
      <c r="G36" s="486"/>
      <c r="H36" s="232"/>
      <c r="M36" s="211">
        <v>1047101654.003</v>
      </c>
    </row>
    <row r="37" spans="1:13" s="211" customFormat="1" ht="15.95" customHeight="1">
      <c r="A37" s="218" t="s">
        <v>720</v>
      </c>
      <c r="B37" s="485"/>
      <c r="C37" s="485"/>
      <c r="D37" s="485"/>
      <c r="E37" s="485"/>
      <c r="F37" s="485"/>
      <c r="G37" s="486"/>
      <c r="H37" s="250" t="e">
        <f>GS!#REF!*0.9</f>
        <v>#REF!</v>
      </c>
      <c r="J37" s="235"/>
    </row>
    <row r="38" spans="1:13" s="211" customFormat="1" ht="13.5">
      <c r="A38" s="236"/>
      <c r="B38" s="485"/>
      <c r="C38" s="485"/>
      <c r="D38" s="485"/>
      <c r="E38" s="485"/>
      <c r="F38" s="485"/>
      <c r="G38" s="486"/>
      <c r="H38" s="232"/>
      <c r="J38" s="223"/>
    </row>
    <row r="39" spans="1:13" s="211" customFormat="1" ht="15.95" customHeight="1">
      <c r="A39" s="218" t="s">
        <v>721</v>
      </c>
      <c r="B39" s="485"/>
      <c r="C39" s="485"/>
      <c r="D39" s="485"/>
      <c r="E39" s="485"/>
      <c r="F39" s="485"/>
      <c r="G39" s="486"/>
      <c r="H39" s="230" t="e">
        <f>H35-H37</f>
        <v>#REF!</v>
      </c>
      <c r="J39" s="233"/>
    </row>
    <row r="40" spans="1:13" s="211" customFormat="1" ht="9" customHeight="1">
      <c r="A40" s="218"/>
      <c r="B40" s="485"/>
      <c r="C40" s="485"/>
      <c r="D40" s="485"/>
      <c r="E40" s="485"/>
      <c r="F40" s="485"/>
      <c r="G40" s="486"/>
      <c r="H40" s="232"/>
    </row>
    <row r="41" spans="1:13" s="211" customFormat="1" ht="15.95" customHeight="1">
      <c r="A41" s="218" t="s">
        <v>722</v>
      </c>
      <c r="B41" s="485"/>
      <c r="C41" s="485"/>
      <c r="D41" s="485"/>
      <c r="E41" s="485"/>
      <c r="F41" s="485"/>
      <c r="G41" s="486"/>
      <c r="H41" s="230">
        <v>0</v>
      </c>
    </row>
    <row r="42" spans="1:13" s="211" customFormat="1" ht="11.25" customHeight="1">
      <c r="A42" s="218"/>
      <c r="B42" s="485"/>
      <c r="C42" s="485"/>
      <c r="D42" s="485"/>
      <c r="E42" s="485"/>
      <c r="F42" s="485"/>
      <c r="G42" s="486"/>
      <c r="H42" s="232"/>
    </row>
    <row r="43" spans="1:13" s="211" customFormat="1" ht="15.95" customHeight="1">
      <c r="A43" s="218" t="s">
        <v>723</v>
      </c>
      <c r="B43" s="485"/>
      <c r="C43" s="485"/>
      <c r="D43" s="485"/>
      <c r="E43" s="485"/>
      <c r="F43" s="485"/>
      <c r="G43" s="486"/>
      <c r="H43" s="237">
        <f>-[10]ADP!F92</f>
        <v>0</v>
      </c>
    </row>
    <row r="44" spans="1:13" s="211" customFormat="1" ht="9.75" customHeight="1">
      <c r="A44" s="229"/>
      <c r="B44" s="484"/>
      <c r="C44" s="484"/>
      <c r="D44" s="484"/>
      <c r="E44" s="484"/>
      <c r="F44" s="484"/>
      <c r="G44" s="486"/>
      <c r="H44" s="232"/>
    </row>
    <row r="45" spans="1:13" s="211" customFormat="1" ht="15.95" customHeight="1">
      <c r="A45" s="238" t="s">
        <v>724</v>
      </c>
      <c r="B45" s="489"/>
      <c r="C45" s="489"/>
      <c r="D45" s="489"/>
      <c r="E45" s="489"/>
      <c r="F45" s="489"/>
      <c r="G45" s="488"/>
      <c r="H45" s="230" t="e">
        <f>H39+H41+H43</f>
        <v>#REF!</v>
      </c>
      <c r="J45" s="239">
        <v>110581924.73999999</v>
      </c>
    </row>
    <row r="46" spans="1:13" s="211" customFormat="1" ht="12.75" customHeight="1">
      <c r="A46" s="238" t="s">
        <v>725</v>
      </c>
      <c r="B46" s="489"/>
      <c r="C46" s="489"/>
      <c r="D46" s="489"/>
      <c r="E46" s="489"/>
      <c r="F46" s="489"/>
      <c r="G46" s="488"/>
      <c r="H46" s="240"/>
      <c r="J46" s="239"/>
      <c r="K46" s="233"/>
    </row>
    <row r="47" spans="1:13" s="211" customFormat="1" ht="11.25" customHeight="1">
      <c r="A47" s="229"/>
      <c r="B47" s="484"/>
      <c r="C47" s="484"/>
      <c r="D47" s="484"/>
      <c r="E47" s="484"/>
      <c r="F47" s="484"/>
      <c r="G47" s="486"/>
      <c r="H47" s="232"/>
      <c r="J47" s="239"/>
    </row>
    <row r="48" spans="1:13" s="211" customFormat="1" ht="15.95" customHeight="1">
      <c r="A48" s="218" t="s">
        <v>726</v>
      </c>
      <c r="B48" s="485"/>
      <c r="C48" s="485"/>
      <c r="D48" s="485"/>
      <c r="E48" s="485"/>
      <c r="F48" s="485"/>
      <c r="G48" s="486"/>
      <c r="H48" s="230" t="e">
        <f>H45*0.15</f>
        <v>#REF!</v>
      </c>
      <c r="J48" s="239">
        <v>0</v>
      </c>
    </row>
    <row r="49" spans="1:12" s="211" customFormat="1" ht="9" customHeight="1">
      <c r="A49" s="229"/>
      <c r="B49" s="484"/>
      <c r="C49" s="484"/>
      <c r="D49" s="484"/>
      <c r="E49" s="484"/>
      <c r="F49" s="484"/>
      <c r="G49" s="486"/>
      <c r="H49" s="232"/>
      <c r="J49" s="239"/>
    </row>
    <row r="50" spans="1:12" s="211" customFormat="1" ht="15.95" customHeight="1">
      <c r="A50" s="241" t="s">
        <v>727</v>
      </c>
      <c r="B50" s="475"/>
      <c r="C50" s="475"/>
      <c r="D50" s="475"/>
      <c r="E50" s="475"/>
      <c r="F50" s="475"/>
      <c r="G50" s="488"/>
      <c r="H50" s="242" t="e">
        <f>H45+H48</f>
        <v>#REF!</v>
      </c>
      <c r="J50" s="239">
        <v>568043871.33000004</v>
      </c>
    </row>
    <row r="51" spans="1:12" s="211" customFormat="1" ht="9.75" customHeight="1">
      <c r="A51" s="229"/>
      <c r="B51" s="484"/>
      <c r="C51" s="484"/>
      <c r="D51" s="484"/>
      <c r="E51" s="484"/>
      <c r="F51" s="484"/>
      <c r="G51" s="485"/>
      <c r="H51" s="232"/>
    </row>
    <row r="52" spans="1:12" s="211" customFormat="1" ht="15.95" customHeight="1">
      <c r="A52" s="243" t="s">
        <v>728</v>
      </c>
      <c r="B52" s="490"/>
      <c r="C52" s="490"/>
      <c r="D52" s="490"/>
      <c r="E52" s="490"/>
      <c r="F52" s="490"/>
      <c r="G52" s="485"/>
      <c r="H52" s="230">
        <v>0</v>
      </c>
      <c r="J52" s="244">
        <f>H52+H54</f>
        <v>0</v>
      </c>
    </row>
    <row r="53" spans="1:12" s="211" customFormat="1" ht="11.25" customHeight="1">
      <c r="A53" s="243"/>
      <c r="B53" s="490"/>
      <c r="C53" s="490"/>
      <c r="D53" s="490"/>
      <c r="E53" s="490"/>
      <c r="F53" s="490"/>
      <c r="G53" s="485"/>
      <c r="H53" s="232"/>
    </row>
    <row r="54" spans="1:12" s="211" customFormat="1" ht="15.95" customHeight="1">
      <c r="A54" s="243" t="s">
        <v>729</v>
      </c>
      <c r="B54" s="490"/>
      <c r="C54" s="490"/>
      <c r="D54" s="490"/>
      <c r="E54" s="490"/>
      <c r="F54" s="490"/>
      <c r="G54" s="485"/>
      <c r="H54" s="230">
        <f>-H43</f>
        <v>0</v>
      </c>
    </row>
    <row r="55" spans="1:12" s="211" customFormat="1" ht="11.25" customHeight="1">
      <c r="A55" s="229"/>
      <c r="B55" s="484"/>
      <c r="C55" s="484"/>
      <c r="D55" s="484"/>
      <c r="E55" s="484"/>
      <c r="F55" s="484"/>
      <c r="G55" s="485"/>
      <c r="H55" s="232"/>
    </row>
    <row r="56" spans="1:12" s="213" customFormat="1" ht="15.95" customHeight="1">
      <c r="A56" s="234" t="s">
        <v>730</v>
      </c>
      <c r="B56" s="491"/>
      <c r="C56" s="491"/>
      <c r="D56" s="491"/>
      <c r="E56" s="491"/>
      <c r="F56" s="491"/>
      <c r="G56" s="475"/>
      <c r="H56" s="230">
        <f>ROUND((H20-H52-H54),2)</f>
        <v>0</v>
      </c>
    </row>
    <row r="57" spans="1:12" s="213" customFormat="1" ht="47.25" customHeight="1">
      <c r="A57" s="245"/>
      <c r="B57" s="492"/>
      <c r="C57" s="492"/>
      <c r="D57" s="492"/>
      <c r="E57" s="492"/>
      <c r="F57" s="492"/>
      <c r="G57" s="492"/>
      <c r="H57" s="232"/>
    </row>
    <row r="58" spans="1:12" s="246" customFormat="1" ht="20.45" customHeight="1">
      <c r="A58" s="493" t="s">
        <v>66</v>
      </c>
      <c r="B58" s="59"/>
      <c r="C58" s="58"/>
      <c r="D58" s="60"/>
      <c r="E58" s="61"/>
      <c r="F58" s="62"/>
      <c r="G58" s="63"/>
      <c r="H58" s="494" t="s">
        <v>68</v>
      </c>
      <c r="I58" s="64"/>
      <c r="J58" s="61"/>
      <c r="K58" s="63"/>
      <c r="L58" s="65"/>
    </row>
    <row r="59" spans="1:12" s="247" customFormat="1" ht="30" customHeight="1">
      <c r="A59" s="495"/>
      <c r="B59" s="59"/>
      <c r="C59" s="58"/>
      <c r="D59" s="60"/>
      <c r="E59" s="58"/>
      <c r="F59" s="62"/>
      <c r="G59" s="66"/>
      <c r="H59" s="496"/>
      <c r="I59" s="64"/>
      <c r="J59" s="58"/>
      <c r="K59" s="66"/>
      <c r="L59" s="67"/>
    </row>
    <row r="60" spans="1:12" s="246" customFormat="1" ht="14.25">
      <c r="A60" s="497" t="s">
        <v>69</v>
      </c>
      <c r="B60" s="59"/>
      <c r="C60" s="58"/>
      <c r="D60" s="58"/>
      <c r="E60" s="58"/>
      <c r="F60" s="62"/>
      <c r="G60" s="66"/>
      <c r="H60" s="498" t="s">
        <v>71</v>
      </c>
      <c r="I60" s="64"/>
      <c r="J60" s="58"/>
      <c r="K60" s="66"/>
      <c r="L60" s="67"/>
    </row>
    <row r="61" spans="1:12" s="246" customFormat="1" ht="14.25">
      <c r="A61" s="493" t="s">
        <v>67</v>
      </c>
      <c r="B61" s="59"/>
      <c r="C61" s="69"/>
      <c r="D61" s="70"/>
      <c r="E61" s="68"/>
      <c r="F61" s="62"/>
      <c r="G61" s="64"/>
      <c r="H61" s="494" t="s">
        <v>70</v>
      </c>
      <c r="I61" s="59"/>
      <c r="J61" s="68"/>
      <c r="K61" s="64"/>
      <c r="L61" s="67"/>
    </row>
    <row r="62" spans="1:12" s="248" customFormat="1" ht="9.75" customHeight="1" thickBot="1">
      <c r="A62" s="499"/>
      <c r="B62" s="500"/>
      <c r="C62" s="500"/>
      <c r="D62" s="500"/>
      <c r="E62" s="501"/>
      <c r="F62" s="501"/>
      <c r="G62" s="501"/>
      <c r="H62" s="502"/>
      <c r="I62" s="255"/>
      <c r="J62" s="255"/>
      <c r="K62" s="256"/>
    </row>
    <row r="63" spans="1:12">
      <c r="A63" s="255"/>
      <c r="B63" s="254"/>
      <c r="C63" s="254"/>
      <c r="D63" s="254"/>
      <c r="E63" s="255"/>
      <c r="F63" s="255"/>
      <c r="G63" s="255"/>
      <c r="H63" s="257"/>
      <c r="I63" s="255"/>
      <c r="J63" s="255"/>
      <c r="K63" s="254"/>
    </row>
    <row r="64" spans="1:12">
      <c r="A64" s="255"/>
      <c r="B64" s="254"/>
      <c r="C64" s="254"/>
      <c r="D64" s="254"/>
      <c r="E64" s="255"/>
      <c r="F64" s="255"/>
      <c r="G64" s="255"/>
      <c r="H64" s="257"/>
      <c r="I64" s="255"/>
      <c r="J64" s="255"/>
      <c r="K64" s="255"/>
    </row>
    <row r="65" spans="1:11">
      <c r="A65" s="258"/>
      <c r="B65" s="253"/>
      <c r="C65" s="253"/>
      <c r="D65" s="253"/>
      <c r="E65" s="258"/>
      <c r="F65" s="258"/>
      <c r="G65" s="258"/>
      <c r="H65" s="259"/>
      <c r="I65" s="258"/>
      <c r="J65" s="258"/>
      <c r="K65" s="258"/>
    </row>
  </sheetData>
  <sheetProtection formatCells="0" formatColumns="0" formatRows="0" insertColumns="0" insertRows="0" deleteColumns="0" deleteRows="0" sort="0" autoFilter="0" pivotTables="0"/>
  <mergeCells count="5">
    <mergeCell ref="A1:H1"/>
    <mergeCell ref="J1:Q1"/>
    <mergeCell ref="A2:H2"/>
    <mergeCell ref="G19:H19"/>
    <mergeCell ref="A30:G30"/>
  </mergeCells>
  <pageMargins left="0.64" right="0.25" top="0.5" bottom="0" header="0.49" footer="0.20496063"/>
  <pageSetup paperSize="9"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36"/>
  <sheetViews>
    <sheetView view="pageBreakPreview" topLeftCell="A22" zoomScale="85" zoomScaleNormal="80" zoomScaleSheetLayoutView="85" workbookViewId="0">
      <selection activeCell="E6" sqref="E6"/>
    </sheetView>
  </sheetViews>
  <sheetFormatPr defaultColWidth="9.3046875" defaultRowHeight="13.5"/>
  <cols>
    <col min="1" max="1" width="12" style="43" customWidth="1" collapsed="1"/>
    <col min="2" max="2" width="16.85546875" style="45" customWidth="1"/>
    <col min="3" max="3" width="25.62109375" style="45" customWidth="1"/>
    <col min="4" max="4" width="12.80859375" style="45" customWidth="1"/>
    <col min="5" max="5" width="31.6875" style="46" customWidth="1"/>
    <col min="6" max="6" width="9.3046875" style="43" customWidth="1"/>
    <col min="7" max="7" width="21.03515625" style="43" customWidth="1"/>
    <col min="8" max="8" width="9.3046875" style="43"/>
    <col min="9" max="9" width="16.98828125" style="43" customWidth="1"/>
    <col min="10" max="10" width="20.765625" style="43" customWidth="1"/>
    <col min="11" max="16384" width="9.3046875" style="43"/>
  </cols>
  <sheetData>
    <row r="1" spans="1:9" ht="18" customHeight="1">
      <c r="A1" s="553" t="s">
        <v>61</v>
      </c>
      <c r="B1" s="553"/>
      <c r="C1" s="553"/>
      <c r="D1" s="553"/>
      <c r="E1" s="553"/>
    </row>
    <row r="2" spans="1:9" ht="18" customHeight="1">
      <c r="A2" s="553" t="s">
        <v>63</v>
      </c>
      <c r="B2" s="553"/>
      <c r="C2" s="553"/>
      <c r="D2" s="553"/>
      <c r="E2" s="553"/>
      <c r="F2" s="53"/>
      <c r="G2" s="53"/>
    </row>
    <row r="3" spans="1:9" ht="18" customHeight="1">
      <c r="A3" s="553" t="s">
        <v>62</v>
      </c>
      <c r="B3" s="553"/>
      <c r="C3" s="553"/>
      <c r="D3" s="553"/>
      <c r="E3" s="553"/>
    </row>
    <row r="4" spans="1:9" ht="18" customHeight="1">
      <c r="A4" s="553" t="s">
        <v>64</v>
      </c>
      <c r="B4" s="553"/>
      <c r="C4" s="553"/>
      <c r="D4" s="553"/>
      <c r="E4" s="553"/>
    </row>
    <row r="5" spans="1:9" ht="18" customHeight="1">
      <c r="A5" s="553" t="s">
        <v>65</v>
      </c>
      <c r="B5" s="553"/>
      <c r="C5" s="553"/>
      <c r="D5" s="553"/>
      <c r="E5" s="553"/>
    </row>
    <row r="6" spans="1:9" ht="18" customHeight="1">
      <c r="A6" s="54"/>
      <c r="B6" s="54"/>
      <c r="C6" s="54"/>
      <c r="D6" s="54"/>
      <c r="E6" s="44"/>
    </row>
    <row r="7" spans="1:9" ht="21" customHeight="1">
      <c r="A7" s="53" t="s">
        <v>105</v>
      </c>
      <c r="B7" s="54"/>
      <c r="C7" s="54"/>
      <c r="D7" s="54"/>
      <c r="E7" s="54"/>
    </row>
    <row r="8" spans="1:9">
      <c r="A8" s="554"/>
      <c r="B8" s="554"/>
      <c r="C8" s="554"/>
      <c r="D8" s="192"/>
      <c r="E8" s="37" t="s">
        <v>72</v>
      </c>
    </row>
    <row r="9" spans="1:9">
      <c r="A9" s="71" t="s">
        <v>73</v>
      </c>
      <c r="B9" s="555" t="s">
        <v>74</v>
      </c>
      <c r="C9" s="556"/>
      <c r="D9" s="71" t="s">
        <v>75</v>
      </c>
      <c r="E9" s="71" t="s">
        <v>76</v>
      </c>
    </row>
    <row r="10" spans="1:9" ht="23.1" customHeight="1">
      <c r="A10" s="72">
        <v>1</v>
      </c>
      <c r="B10" s="557" t="s">
        <v>77</v>
      </c>
      <c r="C10" s="558"/>
      <c r="D10" s="516">
        <f t="shared" ref="D10:D22" si="0">E10/$E$29</f>
        <v>7.7499999999999999E-2</v>
      </c>
      <c r="E10" s="517">
        <f>'Bill 1'!$G$38</f>
        <v>141519140.93000001</v>
      </c>
      <c r="G10" s="533"/>
    </row>
    <row r="11" spans="1:9" ht="23.1" customHeight="1">
      <c r="A11" s="73">
        <v>2</v>
      </c>
      <c r="B11" s="551" t="s">
        <v>78</v>
      </c>
      <c r="C11" s="552"/>
      <c r="D11" s="518">
        <f t="shared" si="0"/>
        <v>4.3299999999999998E-2</v>
      </c>
      <c r="E11" s="519">
        <f>'Bill 2'!$G$28</f>
        <v>79000093.680000007</v>
      </c>
      <c r="G11" s="533"/>
    </row>
    <row r="12" spans="1:9" ht="23.1" customHeight="1">
      <c r="A12" s="73">
        <v>3</v>
      </c>
      <c r="B12" s="551" t="s">
        <v>79</v>
      </c>
      <c r="C12" s="552"/>
      <c r="D12" s="518">
        <f t="shared" si="0"/>
        <v>0.2505</v>
      </c>
      <c r="E12" s="519">
        <f>'Bill 3'!$G$43</f>
        <v>457209997.91000003</v>
      </c>
      <c r="G12" s="533"/>
    </row>
    <row r="13" spans="1:9" ht="23.1" customHeight="1">
      <c r="A13" s="73">
        <v>4</v>
      </c>
      <c r="B13" s="551" t="s">
        <v>80</v>
      </c>
      <c r="C13" s="552"/>
      <c r="D13" s="518">
        <f t="shared" si="0"/>
        <v>0.12130000000000001</v>
      </c>
      <c r="E13" s="519">
        <f>'Bill 4'!$G$27</f>
        <v>221349309.06</v>
      </c>
      <c r="G13" s="533"/>
    </row>
    <row r="14" spans="1:9" ht="23.1" customHeight="1">
      <c r="A14" s="73">
        <v>5</v>
      </c>
      <c r="B14" s="551" t="s">
        <v>81</v>
      </c>
      <c r="C14" s="552"/>
      <c r="D14" s="518">
        <f t="shared" si="0"/>
        <v>3.3700000000000001E-2</v>
      </c>
      <c r="E14" s="519">
        <f>'Bill 5'!$G$27</f>
        <v>61543114.299999997</v>
      </c>
      <c r="G14" s="533"/>
    </row>
    <row r="15" spans="1:9" ht="23.1" customHeight="1">
      <c r="A15" s="73">
        <v>6</v>
      </c>
      <c r="B15" s="551" t="s">
        <v>82</v>
      </c>
      <c r="C15" s="552"/>
      <c r="D15" s="518">
        <f t="shared" si="0"/>
        <v>0.22270000000000001</v>
      </c>
      <c r="E15" s="519">
        <f>'Bill 6'!$G$409</f>
        <v>406494470.58999997</v>
      </c>
      <c r="G15" s="533"/>
      <c r="I15" s="532"/>
    </row>
    <row r="16" spans="1:9" ht="23.1" customHeight="1">
      <c r="A16" s="73">
        <v>7</v>
      </c>
      <c r="B16" s="551" t="s">
        <v>83</v>
      </c>
      <c r="C16" s="552"/>
      <c r="D16" s="518">
        <f t="shared" si="0"/>
        <v>2.92E-2</v>
      </c>
      <c r="E16" s="519">
        <f>'Bill 7'!$G$140</f>
        <v>53339166.439999998</v>
      </c>
      <c r="G16" s="533"/>
    </row>
    <row r="17" spans="1:7" ht="23.1" customHeight="1">
      <c r="A17" s="74" t="s">
        <v>84</v>
      </c>
      <c r="B17" s="551" t="s">
        <v>85</v>
      </c>
      <c r="C17" s="552"/>
      <c r="D17" s="518">
        <f t="shared" si="0"/>
        <v>4.0000000000000002E-4</v>
      </c>
      <c r="E17" s="519">
        <f>'Bill 8.1'!$G$41</f>
        <v>805454.7</v>
      </c>
      <c r="G17" s="533"/>
    </row>
    <row r="18" spans="1:7" ht="23.1" customHeight="1">
      <c r="A18" s="74" t="s">
        <v>86</v>
      </c>
      <c r="B18" s="551" t="s">
        <v>87</v>
      </c>
      <c r="C18" s="552"/>
      <c r="D18" s="518">
        <f t="shared" si="0"/>
        <v>6.9999999999999999E-4</v>
      </c>
      <c r="E18" s="519">
        <f>'Bill 8.2'!$G$104</f>
        <v>1368785.88</v>
      </c>
      <c r="G18" s="533"/>
    </row>
    <row r="19" spans="1:7" ht="23.1" customHeight="1">
      <c r="A19" s="74" t="s">
        <v>88</v>
      </c>
      <c r="B19" s="551" t="s">
        <v>89</v>
      </c>
      <c r="C19" s="552"/>
      <c r="D19" s="518">
        <f t="shared" si="0"/>
        <v>1E-3</v>
      </c>
      <c r="E19" s="519">
        <f>'Bill 8.3'!$G$103</f>
        <v>1785035.26</v>
      </c>
      <c r="G19" s="533"/>
    </row>
    <row r="20" spans="1:7" ht="23.1" customHeight="1">
      <c r="A20" s="75">
        <v>9</v>
      </c>
      <c r="B20" s="566" t="s">
        <v>90</v>
      </c>
      <c r="C20" s="567"/>
      <c r="D20" s="520">
        <f t="shared" si="0"/>
        <v>1.9699999999999999E-2</v>
      </c>
      <c r="E20" s="521">
        <f>'Bill 9'!$G$31</f>
        <v>36000000</v>
      </c>
      <c r="G20" s="533"/>
    </row>
    <row r="21" spans="1:7" ht="24" customHeight="1">
      <c r="A21" s="568" t="s">
        <v>91</v>
      </c>
      <c r="B21" s="569"/>
      <c r="C21" s="570"/>
      <c r="D21" s="522">
        <f t="shared" si="0"/>
        <v>0.78029999999999999</v>
      </c>
      <c r="E21" s="523">
        <f>SUM(E10:E19)</f>
        <v>1424414568.75</v>
      </c>
      <c r="G21" s="534"/>
    </row>
    <row r="22" spans="1:7" ht="24" customHeight="1">
      <c r="A22" s="568" t="s">
        <v>92</v>
      </c>
      <c r="B22" s="563"/>
      <c r="C22" s="564"/>
      <c r="D22" s="524">
        <f t="shared" si="0"/>
        <v>1.9699999999999999E-2</v>
      </c>
      <c r="E22" s="523">
        <f>E20</f>
        <v>36000000</v>
      </c>
      <c r="G22" s="533"/>
    </row>
    <row r="23" spans="1:7" ht="24" customHeight="1">
      <c r="A23" s="525" t="s">
        <v>93</v>
      </c>
      <c r="B23" s="571" t="s">
        <v>94</v>
      </c>
      <c r="C23" s="571"/>
      <c r="D23" s="526">
        <f>SUM(D21:D22)</f>
        <v>0.8</v>
      </c>
      <c r="E23" s="523">
        <f>SUM(E21:E22)</f>
        <v>1460414568.75</v>
      </c>
      <c r="G23" s="535"/>
    </row>
    <row r="24" spans="1:7" ht="24" customHeight="1">
      <c r="A24" s="525" t="s">
        <v>95</v>
      </c>
      <c r="B24" s="572" t="s">
        <v>96</v>
      </c>
      <c r="C24" s="573"/>
      <c r="D24" s="527">
        <f t="shared" ref="D24:D29" si="1">E24/$E$29</f>
        <v>0</v>
      </c>
      <c r="E24" s="528">
        <v>0</v>
      </c>
      <c r="G24" s="534"/>
    </row>
    <row r="25" spans="1:7" ht="24" customHeight="1">
      <c r="A25" s="525" t="s">
        <v>97</v>
      </c>
      <c r="B25" s="572" t="s">
        <v>98</v>
      </c>
      <c r="C25" s="573"/>
      <c r="D25" s="527">
        <f t="shared" si="1"/>
        <v>0</v>
      </c>
      <c r="E25" s="528">
        <v>0</v>
      </c>
      <c r="G25" s="534"/>
    </row>
    <row r="26" spans="1:7" ht="24" customHeight="1">
      <c r="A26" s="525" t="s">
        <v>99</v>
      </c>
      <c r="B26" s="562" t="s">
        <v>100</v>
      </c>
      <c r="C26" s="564"/>
      <c r="D26" s="526">
        <f t="shared" si="1"/>
        <v>0.8</v>
      </c>
      <c r="E26" s="523">
        <f>SUM(E23:E25)</f>
        <v>1460414568.75</v>
      </c>
      <c r="G26" s="533"/>
    </row>
    <row r="27" spans="1:7" ht="27" customHeight="1">
      <c r="A27" s="529" t="s">
        <v>101</v>
      </c>
      <c r="B27" s="565" t="s">
        <v>884</v>
      </c>
      <c r="C27" s="565"/>
      <c r="D27" s="526">
        <f t="shared" si="1"/>
        <v>0.08</v>
      </c>
      <c r="E27" s="528">
        <f>E23*0.1</f>
        <v>146041456.88</v>
      </c>
      <c r="G27" s="536"/>
    </row>
    <row r="28" spans="1:7" ht="30" customHeight="1">
      <c r="A28" s="529" t="s">
        <v>102</v>
      </c>
      <c r="B28" s="565" t="s">
        <v>885</v>
      </c>
      <c r="C28" s="565"/>
      <c r="D28" s="526">
        <f t="shared" si="1"/>
        <v>0.12</v>
      </c>
      <c r="E28" s="528">
        <f>E23*0.15</f>
        <v>219062185.31</v>
      </c>
      <c r="G28" s="534"/>
    </row>
    <row r="29" spans="1:7" ht="29.45" customHeight="1">
      <c r="A29" s="562" t="s">
        <v>103</v>
      </c>
      <c r="B29" s="563"/>
      <c r="C29" s="564"/>
      <c r="D29" s="530">
        <f t="shared" si="1"/>
        <v>1</v>
      </c>
      <c r="E29" s="523">
        <f>SUM(E26:E28)</f>
        <v>1825518210.9400001</v>
      </c>
      <c r="G29" s="534"/>
    </row>
    <row r="30" spans="1:7" ht="36.75" customHeight="1">
      <c r="A30" s="559" t="s">
        <v>731</v>
      </c>
      <c r="B30" s="560"/>
      <c r="C30" s="561"/>
      <c r="D30" s="531">
        <f>E30/E29</f>
        <v>0.15</v>
      </c>
      <c r="E30" s="528">
        <f>E29*15%</f>
        <v>273827731.63999999</v>
      </c>
      <c r="G30" s="534"/>
    </row>
    <row r="31" spans="1:7" ht="30" customHeight="1">
      <c r="A31" s="562" t="s">
        <v>104</v>
      </c>
      <c r="B31" s="563"/>
      <c r="C31" s="564"/>
      <c r="D31" s="531">
        <f>E31/E29</f>
        <v>1.1499999999999999</v>
      </c>
      <c r="E31" s="523">
        <f>ROUND(SUM(E29:E30),2)</f>
        <v>2099345942.5799999</v>
      </c>
    </row>
    <row r="32" spans="1:7">
      <c r="A32" s="55"/>
      <c r="B32" s="55"/>
      <c r="C32" s="55"/>
      <c r="D32" s="56"/>
      <c r="E32" s="57"/>
    </row>
    <row r="33" spans="1:5" s="59" customFormat="1" ht="13.15" customHeight="1">
      <c r="A33" s="116"/>
      <c r="C33" s="58"/>
      <c r="D33" s="60"/>
      <c r="E33" s="61"/>
    </row>
    <row r="34" spans="1:5" s="59" customFormat="1" ht="28.15" customHeight="1">
      <c r="A34" s="121"/>
      <c r="C34" s="58"/>
      <c r="D34" s="60"/>
      <c r="E34" s="58"/>
    </row>
    <row r="35" spans="1:5" s="59" customFormat="1" ht="17.25" customHeight="1">
      <c r="A35" s="124"/>
      <c r="C35" s="58"/>
      <c r="D35" s="58"/>
      <c r="E35" s="58"/>
    </row>
    <row r="36" spans="1:5" s="59" customFormat="1" ht="15" customHeight="1">
      <c r="A36" s="116"/>
      <c r="C36" s="69"/>
      <c r="D36" s="70"/>
      <c r="E36" s="68"/>
    </row>
  </sheetData>
  <mergeCells count="29">
    <mergeCell ref="A30:C30"/>
    <mergeCell ref="A31:C31"/>
    <mergeCell ref="B27:C27"/>
    <mergeCell ref="B18:C18"/>
    <mergeCell ref="B19:C19"/>
    <mergeCell ref="B20:C20"/>
    <mergeCell ref="B28:C28"/>
    <mergeCell ref="A29:C29"/>
    <mergeCell ref="B26:C26"/>
    <mergeCell ref="A21:C21"/>
    <mergeCell ref="A22:C22"/>
    <mergeCell ref="B23:C23"/>
    <mergeCell ref="B24:C24"/>
    <mergeCell ref="B25:C25"/>
    <mergeCell ref="B16:C16"/>
    <mergeCell ref="B17:C17"/>
    <mergeCell ref="A2:E2"/>
    <mergeCell ref="A1:E1"/>
    <mergeCell ref="A3:E3"/>
    <mergeCell ref="A4:E4"/>
    <mergeCell ref="A5:E5"/>
    <mergeCell ref="B15:C15"/>
    <mergeCell ref="A8:C8"/>
    <mergeCell ref="B9:C9"/>
    <mergeCell ref="B10:C10"/>
    <mergeCell ref="B11:C11"/>
    <mergeCell ref="B12:C12"/>
    <mergeCell ref="B13:C13"/>
    <mergeCell ref="B14:C14"/>
  </mergeCells>
  <pageMargins left="1" right="0.39" top="1" bottom="1" header="0.5" footer="0.5"/>
  <pageSetup paperSize="9" scale="9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9FF99"/>
    <pageSetUpPr autoPageBreaks="0"/>
  </sheetPr>
  <dimension ref="A1:AF68"/>
  <sheetViews>
    <sheetView showGridLines="0" view="pageBreakPreview" zoomScaleNormal="100" zoomScaleSheetLayoutView="100" workbookViewId="0">
      <selection activeCell="Z18" sqref="Z18"/>
    </sheetView>
  </sheetViews>
  <sheetFormatPr defaultColWidth="9.16796875" defaultRowHeight="13.5"/>
  <cols>
    <col min="1" max="8" width="4.1796875" style="437" customWidth="1"/>
    <col min="9" max="9" width="3.7734375" style="437" customWidth="1"/>
    <col min="10" max="10" width="4.1796875" style="437" customWidth="1"/>
    <col min="11" max="11" width="3.234375" style="437" customWidth="1"/>
    <col min="12" max="14" width="3.7734375" style="468" customWidth="1"/>
    <col min="15" max="16" width="3.91015625" style="437" customWidth="1"/>
    <col min="17" max="17" width="5.2578125" style="437" customWidth="1"/>
    <col min="18" max="18" width="15.37109375" style="468" customWidth="1"/>
    <col min="19" max="19" width="3.50390625" style="437" customWidth="1"/>
    <col min="20" max="20" width="2.55859375" style="437" customWidth="1"/>
    <col min="21" max="21" width="3.1015625" style="437" customWidth="1"/>
    <col min="22" max="22" width="5.93359375" style="437" customWidth="1"/>
    <col min="23" max="23" width="9.16796875" style="437"/>
    <col min="24" max="24" width="12.9453125" style="437" customWidth="1"/>
    <col min="25" max="25" width="4.3125" style="437" bestFit="1" customWidth="1"/>
    <col min="26" max="26" width="11.59375" style="437" customWidth="1"/>
    <col min="27" max="27" width="12.5390625" style="438" bestFit="1" customWidth="1"/>
    <col min="28" max="29" width="13.6171875" style="438" customWidth="1"/>
    <col min="30" max="30" width="13.078125" style="438" customWidth="1"/>
    <col min="31" max="31" width="9.16796875" style="438"/>
    <col min="32" max="32" width="11.4609375" style="438" customWidth="1"/>
    <col min="33" max="16384" width="9.16796875" style="437"/>
  </cols>
  <sheetData>
    <row r="1" spans="1:32" ht="24" customHeight="1">
      <c r="A1" s="574" t="s">
        <v>826</v>
      </c>
      <c r="B1" s="575"/>
      <c r="C1" s="575"/>
      <c r="D1" s="575"/>
      <c r="E1" s="575"/>
      <c r="F1" s="575"/>
      <c r="G1" s="575"/>
      <c r="H1" s="575"/>
      <c r="I1" s="575"/>
      <c r="J1" s="575"/>
      <c r="K1" s="575"/>
      <c r="L1" s="575"/>
      <c r="M1" s="575"/>
      <c r="N1" s="575"/>
      <c r="O1" s="575"/>
      <c r="P1" s="575"/>
      <c r="Q1" s="575"/>
      <c r="R1" s="575"/>
      <c r="S1" s="575"/>
      <c r="T1" s="575"/>
      <c r="U1" s="575"/>
      <c r="V1" s="576"/>
    </row>
    <row r="2" spans="1:32" ht="15" customHeight="1">
      <c r="A2" s="577"/>
      <c r="B2" s="578"/>
      <c r="C2" s="578"/>
      <c r="D2" s="578"/>
      <c r="E2" s="578"/>
      <c r="F2" s="578"/>
      <c r="G2" s="578"/>
      <c r="H2" s="578"/>
      <c r="I2" s="578"/>
      <c r="J2" s="578"/>
      <c r="K2" s="578"/>
      <c r="L2" s="578"/>
      <c r="M2" s="578"/>
      <c r="N2" s="578"/>
      <c r="O2" s="578"/>
      <c r="P2" s="578"/>
      <c r="Q2" s="578"/>
      <c r="R2" s="578"/>
      <c r="S2" s="578"/>
      <c r="T2" s="578"/>
      <c r="U2" s="578"/>
      <c r="V2" s="579"/>
    </row>
    <row r="3" spans="1:32" ht="15" customHeight="1">
      <c r="A3" s="580"/>
      <c r="B3" s="581"/>
      <c r="C3" s="581"/>
      <c r="D3" s="581"/>
      <c r="E3" s="581"/>
      <c r="F3" s="581"/>
      <c r="G3" s="581" t="s">
        <v>827</v>
      </c>
      <c r="H3" s="581"/>
      <c r="I3" s="581"/>
      <c r="J3" s="581"/>
      <c r="K3" s="581"/>
      <c r="L3" s="581"/>
      <c r="M3" s="581"/>
      <c r="N3" s="581"/>
      <c r="O3" s="581"/>
      <c r="P3" s="581"/>
      <c r="Q3" s="581"/>
      <c r="R3" s="582" t="s">
        <v>828</v>
      </c>
      <c r="S3" s="582"/>
      <c r="T3" s="583" t="s">
        <v>101</v>
      </c>
      <c r="U3" s="583"/>
      <c r="V3" s="584"/>
    </row>
    <row r="4" spans="1:32" ht="15" customHeight="1">
      <c r="A4" s="585" t="s">
        <v>700</v>
      </c>
      <c r="B4" s="586"/>
      <c r="C4" s="586"/>
      <c r="D4" s="587" t="s">
        <v>701</v>
      </c>
      <c r="E4" s="587"/>
      <c r="F4" s="587"/>
      <c r="G4" s="587"/>
      <c r="H4" s="587"/>
      <c r="I4" s="587"/>
      <c r="J4" s="587"/>
      <c r="K4" s="587"/>
      <c r="L4" s="587"/>
      <c r="M4" s="587"/>
      <c r="N4" s="587"/>
      <c r="O4" s="588" t="s">
        <v>829</v>
      </c>
      <c r="P4" s="588"/>
      <c r="Q4" s="588"/>
      <c r="R4" s="588"/>
      <c r="S4" s="588"/>
      <c r="T4" s="589" t="str">
        <f>'[11]BOQ Summary'!G4</f>
        <v>No. 35</v>
      </c>
      <c r="U4" s="589"/>
      <c r="V4" s="590"/>
    </row>
    <row r="5" spans="1:32" ht="21.75" customHeight="1">
      <c r="A5" s="598" t="s">
        <v>830</v>
      </c>
      <c r="B5" s="599"/>
      <c r="C5" s="599"/>
      <c r="D5" s="600" t="s">
        <v>831</v>
      </c>
      <c r="E5" s="600"/>
      <c r="F5" s="600"/>
      <c r="G5" s="600"/>
      <c r="H5" s="600"/>
      <c r="I5" s="600"/>
      <c r="J5" s="600"/>
      <c r="K5" s="600"/>
      <c r="L5" s="600"/>
      <c r="M5" s="600"/>
      <c r="N5" s="600"/>
      <c r="O5" s="601" t="s">
        <v>832</v>
      </c>
      <c r="P5" s="601"/>
      <c r="Q5" s="601"/>
      <c r="R5" s="601"/>
      <c r="S5" s="601"/>
      <c r="T5" s="602" t="str">
        <f>'[11]BOQ Summary'!G5</f>
        <v>31st May  2021</v>
      </c>
      <c r="U5" s="602"/>
      <c r="V5" s="603"/>
    </row>
    <row r="6" spans="1:32" ht="15" customHeight="1">
      <c r="A6" s="604" t="s">
        <v>705</v>
      </c>
      <c r="B6" s="605"/>
      <c r="C6" s="605"/>
      <c r="D6" s="606" t="s">
        <v>833</v>
      </c>
      <c r="E6" s="606"/>
      <c r="F6" s="606"/>
      <c r="G6" s="606"/>
      <c r="H6" s="606"/>
      <c r="I6" s="606"/>
      <c r="J6" s="606"/>
      <c r="K6" s="606"/>
      <c r="L6" s="606"/>
      <c r="M6" s="606"/>
      <c r="N6" s="606"/>
      <c r="O6" s="607" t="s">
        <v>834</v>
      </c>
      <c r="P6" s="607"/>
      <c r="Q6" s="607"/>
      <c r="R6" s="607"/>
      <c r="S6" s="607"/>
      <c r="T6" s="608" t="s">
        <v>835</v>
      </c>
      <c r="U6" s="608"/>
      <c r="V6" s="609"/>
    </row>
    <row r="7" spans="1:32" ht="21" customHeight="1">
      <c r="A7" s="591" t="s">
        <v>836</v>
      </c>
      <c r="B7" s="591"/>
      <c r="C7" s="591"/>
      <c r="D7" s="591"/>
      <c r="E7" s="591"/>
      <c r="F7" s="591"/>
      <c r="G7" s="591"/>
      <c r="H7" s="591"/>
      <c r="I7" s="591"/>
      <c r="J7" s="591"/>
      <c r="K7" s="591"/>
      <c r="L7" s="591"/>
      <c r="M7" s="591"/>
      <c r="N7" s="591"/>
      <c r="O7" s="591"/>
      <c r="P7" s="591"/>
      <c r="Q7" s="591"/>
      <c r="R7" s="591"/>
      <c r="S7" s="591"/>
      <c r="T7" s="591"/>
      <c r="U7" s="591"/>
      <c r="V7" s="591"/>
    </row>
    <row r="8" spans="1:32" s="441" customFormat="1" ht="27" customHeight="1">
      <c r="A8" s="439" t="s">
        <v>837</v>
      </c>
      <c r="B8" s="592" t="s">
        <v>74</v>
      </c>
      <c r="C8" s="593"/>
      <c r="D8" s="593"/>
      <c r="E8" s="593"/>
      <c r="F8" s="593"/>
      <c r="G8" s="593"/>
      <c r="H8" s="593"/>
      <c r="I8" s="594"/>
      <c r="J8" s="592" t="s">
        <v>139</v>
      </c>
      <c r="K8" s="594"/>
      <c r="L8" s="595" t="s">
        <v>140</v>
      </c>
      <c r="M8" s="596"/>
      <c r="N8" s="597"/>
      <c r="O8" s="595" t="s">
        <v>141</v>
      </c>
      <c r="P8" s="596"/>
      <c r="Q8" s="597"/>
      <c r="R8" s="440" t="s">
        <v>838</v>
      </c>
      <c r="S8" s="595" t="s">
        <v>839</v>
      </c>
      <c r="T8" s="596"/>
      <c r="U8" s="596"/>
      <c r="V8" s="597"/>
      <c r="AA8" s="442"/>
      <c r="AB8" s="442"/>
      <c r="AC8" s="442"/>
      <c r="AD8" s="442"/>
      <c r="AE8" s="442"/>
      <c r="AF8" s="442"/>
    </row>
    <row r="9" spans="1:32" ht="15.75" customHeight="1">
      <c r="A9" s="443">
        <v>1</v>
      </c>
      <c r="B9" s="610" t="s">
        <v>840</v>
      </c>
      <c r="C9" s="611"/>
      <c r="D9" s="611"/>
      <c r="E9" s="611"/>
      <c r="F9" s="611"/>
      <c r="G9" s="611"/>
      <c r="H9" s="611"/>
      <c r="I9" s="612"/>
      <c r="J9" s="613" t="s">
        <v>841</v>
      </c>
      <c r="K9" s="614"/>
      <c r="L9" s="615">
        <v>0</v>
      </c>
      <c r="M9" s="616"/>
      <c r="N9" s="617"/>
      <c r="O9" s="618">
        <f>'Bill 8.3'!F28</f>
        <v>15055.23</v>
      </c>
      <c r="P9" s="619"/>
      <c r="Q9" s="620"/>
      <c r="R9" s="444">
        <f>L9*O9</f>
        <v>0</v>
      </c>
      <c r="S9" s="621"/>
      <c r="T9" s="622"/>
      <c r="U9" s="622"/>
      <c r="V9" s="623"/>
    </row>
    <row r="10" spans="1:32" ht="15.75" customHeight="1">
      <c r="A10" s="445"/>
      <c r="B10" s="624"/>
      <c r="C10" s="625"/>
      <c r="D10" s="625"/>
      <c r="E10" s="625"/>
      <c r="F10" s="625"/>
      <c r="G10" s="625"/>
      <c r="H10" s="625"/>
      <c r="I10" s="626"/>
      <c r="J10" s="627"/>
      <c r="K10" s="628"/>
      <c r="L10" s="629"/>
      <c r="M10" s="630"/>
      <c r="N10" s="631"/>
      <c r="O10" s="629"/>
      <c r="P10" s="630"/>
      <c r="Q10" s="631"/>
      <c r="R10" s="446"/>
      <c r="S10" s="632"/>
      <c r="T10" s="633"/>
      <c r="U10" s="633"/>
      <c r="V10" s="634"/>
    </row>
    <row r="11" spans="1:32" ht="15.75" customHeight="1">
      <c r="A11" s="445">
        <v>2</v>
      </c>
      <c r="B11" s="635" t="s">
        <v>842</v>
      </c>
      <c r="C11" s="636"/>
      <c r="D11" s="636"/>
      <c r="E11" s="636"/>
      <c r="F11" s="636"/>
      <c r="G11" s="636"/>
      <c r="H11" s="636"/>
      <c r="I11" s="637"/>
      <c r="J11" s="627"/>
      <c r="K11" s="628"/>
      <c r="L11" s="638"/>
      <c r="M11" s="639"/>
      <c r="N11" s="640"/>
      <c r="O11" s="629"/>
      <c r="P11" s="630"/>
      <c r="Q11" s="631"/>
      <c r="R11" s="446"/>
      <c r="S11" s="632"/>
      <c r="T11" s="633"/>
      <c r="U11" s="633"/>
      <c r="V11" s="634"/>
    </row>
    <row r="12" spans="1:32" ht="15.75" customHeight="1">
      <c r="A12" s="445"/>
      <c r="B12" s="641" t="s">
        <v>843</v>
      </c>
      <c r="C12" s="642"/>
      <c r="D12" s="642"/>
      <c r="E12" s="642"/>
      <c r="F12" s="642"/>
      <c r="G12" s="642"/>
      <c r="H12" s="642"/>
      <c r="I12" s="643"/>
      <c r="J12" s="627" t="s">
        <v>626</v>
      </c>
      <c r="K12" s="628"/>
      <c r="L12" s="638">
        <v>0</v>
      </c>
      <c r="M12" s="639"/>
      <c r="N12" s="640"/>
      <c r="O12" s="644"/>
      <c r="P12" s="645"/>
      <c r="Q12" s="646"/>
      <c r="R12" s="450">
        <f>L12*O12</f>
        <v>0</v>
      </c>
      <c r="S12" s="632"/>
      <c r="T12" s="633"/>
      <c r="U12" s="633"/>
      <c r="V12" s="634"/>
    </row>
    <row r="13" spans="1:32" ht="15.75" customHeight="1">
      <c r="A13" s="445"/>
      <c r="B13" s="641" t="s">
        <v>844</v>
      </c>
      <c r="C13" s="642"/>
      <c r="D13" s="642"/>
      <c r="E13" s="642"/>
      <c r="F13" s="642"/>
      <c r="G13" s="642"/>
      <c r="H13" s="642"/>
      <c r="I13" s="643"/>
      <c r="J13" s="627" t="s">
        <v>626</v>
      </c>
      <c r="K13" s="628"/>
      <c r="L13" s="638">
        <v>0</v>
      </c>
      <c r="M13" s="639"/>
      <c r="N13" s="640"/>
      <c r="O13" s="644"/>
      <c r="P13" s="645"/>
      <c r="Q13" s="646"/>
      <c r="R13" s="450">
        <f>L13*O13</f>
        <v>0</v>
      </c>
      <c r="S13" s="632"/>
      <c r="T13" s="633"/>
      <c r="U13" s="633"/>
      <c r="V13" s="634"/>
    </row>
    <row r="14" spans="1:32" ht="15.75" customHeight="1">
      <c r="A14" s="445"/>
      <c r="B14" s="641" t="s">
        <v>845</v>
      </c>
      <c r="C14" s="642"/>
      <c r="D14" s="642"/>
      <c r="E14" s="642"/>
      <c r="F14" s="642"/>
      <c r="G14" s="642"/>
      <c r="H14" s="642"/>
      <c r="I14" s="643"/>
      <c r="J14" s="627" t="s">
        <v>626</v>
      </c>
      <c r="K14" s="628"/>
      <c r="L14" s="638">
        <v>0</v>
      </c>
      <c r="M14" s="639"/>
      <c r="N14" s="640"/>
      <c r="O14" s="644"/>
      <c r="P14" s="645"/>
      <c r="Q14" s="646"/>
      <c r="R14" s="450">
        <f>L14*O14</f>
        <v>0</v>
      </c>
      <c r="S14" s="447"/>
      <c r="T14" s="448"/>
      <c r="U14" s="448"/>
      <c r="V14" s="449"/>
    </row>
    <row r="15" spans="1:32" ht="15.75" customHeight="1">
      <c r="A15" s="445">
        <v>3</v>
      </c>
      <c r="B15" s="635" t="s">
        <v>846</v>
      </c>
      <c r="C15" s="636"/>
      <c r="D15" s="636"/>
      <c r="E15" s="636"/>
      <c r="F15" s="636"/>
      <c r="G15" s="636"/>
      <c r="H15" s="636"/>
      <c r="I15" s="637"/>
      <c r="J15" s="627"/>
      <c r="K15" s="628"/>
      <c r="L15" s="638"/>
      <c r="M15" s="639"/>
      <c r="N15" s="640"/>
      <c r="O15" s="629"/>
      <c r="P15" s="630"/>
      <c r="Q15" s="631"/>
      <c r="R15" s="446"/>
      <c r="S15" s="632"/>
      <c r="T15" s="633"/>
      <c r="U15" s="633"/>
      <c r="V15" s="634"/>
    </row>
    <row r="16" spans="1:32" ht="15.75" customHeight="1">
      <c r="A16" s="445"/>
      <c r="B16" s="641" t="s">
        <v>847</v>
      </c>
      <c r="C16" s="642"/>
      <c r="D16" s="642"/>
      <c r="E16" s="642"/>
      <c r="F16" s="642"/>
      <c r="G16" s="642"/>
      <c r="H16" s="642"/>
      <c r="I16" s="643"/>
      <c r="J16" s="627" t="s">
        <v>848</v>
      </c>
      <c r="K16" s="628"/>
      <c r="L16" s="647">
        <f>AD16</f>
        <v>0</v>
      </c>
      <c r="M16" s="648"/>
      <c r="N16" s="649"/>
      <c r="O16" s="629"/>
      <c r="P16" s="630"/>
      <c r="Q16" s="631"/>
      <c r="R16" s="446">
        <f t="shared" ref="R16:R28" si="0">L16*O16</f>
        <v>0</v>
      </c>
      <c r="S16" s="632"/>
      <c r="T16" s="633"/>
      <c r="U16" s="633"/>
      <c r="V16" s="634"/>
      <c r="Z16" s="438">
        <v>1443</v>
      </c>
      <c r="AA16" s="451">
        <v>0</v>
      </c>
      <c r="AB16" s="452">
        <f>ROUND((10*10)/162,3)</f>
        <v>0.61699999999999999</v>
      </c>
      <c r="AC16" s="453">
        <v>12</v>
      </c>
      <c r="AD16" s="452">
        <f t="shared" ref="AD16:AD22" si="1">ROUND((AA16*AB16*AC16)/1000,3)</f>
        <v>0</v>
      </c>
    </row>
    <row r="17" spans="1:30" ht="15.75" customHeight="1">
      <c r="A17" s="445"/>
      <c r="B17" s="641" t="s">
        <v>849</v>
      </c>
      <c r="C17" s="642"/>
      <c r="D17" s="642"/>
      <c r="E17" s="642"/>
      <c r="F17" s="642"/>
      <c r="G17" s="642"/>
      <c r="H17" s="642"/>
      <c r="I17" s="643"/>
      <c r="J17" s="627" t="s">
        <v>848</v>
      </c>
      <c r="K17" s="628"/>
      <c r="L17" s="647">
        <f>AD17</f>
        <v>0</v>
      </c>
      <c r="M17" s="648"/>
      <c r="N17" s="649"/>
      <c r="O17" s="629"/>
      <c r="P17" s="630"/>
      <c r="Q17" s="631"/>
      <c r="R17" s="446">
        <f t="shared" si="0"/>
        <v>0</v>
      </c>
      <c r="S17" s="632"/>
      <c r="T17" s="633"/>
      <c r="U17" s="633"/>
      <c r="V17" s="634"/>
      <c r="Z17" s="438">
        <v>0</v>
      </c>
      <c r="AA17" s="453">
        <v>0</v>
      </c>
      <c r="AB17" s="452">
        <f>ROUND((12*12)/162,3)</f>
        <v>0.88900000000000001</v>
      </c>
      <c r="AC17" s="451">
        <v>6</v>
      </c>
      <c r="AD17" s="452">
        <f t="shared" si="1"/>
        <v>0</v>
      </c>
    </row>
    <row r="18" spans="1:30" s="438" customFormat="1" ht="15.75" customHeight="1">
      <c r="A18" s="445"/>
      <c r="B18" s="641" t="s">
        <v>850</v>
      </c>
      <c r="C18" s="642"/>
      <c r="D18" s="642"/>
      <c r="E18" s="642"/>
      <c r="F18" s="642"/>
      <c r="G18" s="642"/>
      <c r="H18" s="642"/>
      <c r="I18" s="643"/>
      <c r="J18" s="627" t="s">
        <v>848</v>
      </c>
      <c r="K18" s="628"/>
      <c r="L18" s="647">
        <f>AD18</f>
        <v>0</v>
      </c>
      <c r="M18" s="648"/>
      <c r="N18" s="649"/>
      <c r="O18" s="629"/>
      <c r="P18" s="630"/>
      <c r="Q18" s="631"/>
      <c r="R18" s="446">
        <f t="shared" si="0"/>
        <v>0</v>
      </c>
      <c r="S18" s="632"/>
      <c r="T18" s="633"/>
      <c r="U18" s="633"/>
      <c r="V18" s="634"/>
      <c r="W18" s="437"/>
      <c r="X18" s="437"/>
      <c r="Y18" s="437"/>
      <c r="Z18" s="438">
        <v>318</v>
      </c>
      <c r="AA18" s="453">
        <v>0</v>
      </c>
      <c r="AB18" s="452">
        <f>ROUND((12*12)/162,3)</f>
        <v>0.88900000000000001</v>
      </c>
      <c r="AC18" s="451">
        <v>12</v>
      </c>
      <c r="AD18" s="452">
        <f t="shared" si="1"/>
        <v>0</v>
      </c>
    </row>
    <row r="19" spans="1:30" s="438" customFormat="1" ht="15.75" customHeight="1">
      <c r="A19" s="445"/>
      <c r="B19" s="641" t="s">
        <v>851</v>
      </c>
      <c r="C19" s="642"/>
      <c r="D19" s="642"/>
      <c r="E19" s="642"/>
      <c r="F19" s="642"/>
      <c r="G19" s="642"/>
      <c r="H19" s="642"/>
      <c r="I19" s="643"/>
      <c r="J19" s="627" t="s">
        <v>848</v>
      </c>
      <c r="K19" s="628"/>
      <c r="L19" s="647">
        <f>AD19</f>
        <v>0</v>
      </c>
      <c r="M19" s="648"/>
      <c r="N19" s="649"/>
      <c r="O19" s="629"/>
      <c r="P19" s="630"/>
      <c r="Q19" s="631"/>
      <c r="R19" s="446">
        <f t="shared" si="0"/>
        <v>0</v>
      </c>
      <c r="S19" s="447"/>
      <c r="T19" s="448"/>
      <c r="U19" s="448"/>
      <c r="V19" s="449"/>
      <c r="W19" s="437"/>
      <c r="X19" s="437"/>
      <c r="Y19" s="437"/>
      <c r="Z19" s="438">
        <v>269</v>
      </c>
      <c r="AA19" s="453">
        <v>0</v>
      </c>
      <c r="AB19" s="452">
        <f>ROUND((16*16)/162,3)</f>
        <v>1.58</v>
      </c>
      <c r="AC19" s="451">
        <v>6</v>
      </c>
      <c r="AD19" s="452">
        <f t="shared" si="1"/>
        <v>0</v>
      </c>
    </row>
    <row r="20" spans="1:30" s="438" customFormat="1" ht="15.75" customHeight="1">
      <c r="A20" s="445"/>
      <c r="B20" s="641" t="s">
        <v>852</v>
      </c>
      <c r="C20" s="642"/>
      <c r="D20" s="642"/>
      <c r="E20" s="642"/>
      <c r="F20" s="642"/>
      <c r="G20" s="642"/>
      <c r="H20" s="642"/>
      <c r="I20" s="643"/>
      <c r="J20" s="627" t="s">
        <v>848</v>
      </c>
      <c r="K20" s="628"/>
      <c r="L20" s="647">
        <f>AD20</f>
        <v>0</v>
      </c>
      <c r="M20" s="648"/>
      <c r="N20" s="649"/>
      <c r="O20" s="629"/>
      <c r="P20" s="630"/>
      <c r="Q20" s="631"/>
      <c r="R20" s="446">
        <f>L20*O20</f>
        <v>0</v>
      </c>
      <c r="S20" s="632"/>
      <c r="T20" s="633"/>
      <c r="U20" s="633"/>
      <c r="V20" s="634"/>
      <c r="W20" s="437"/>
      <c r="X20" s="437"/>
      <c r="Y20" s="437"/>
      <c r="Z20" s="438">
        <v>0</v>
      </c>
      <c r="AA20" s="453">
        <v>0</v>
      </c>
      <c r="AB20" s="452">
        <f>ROUND((16*16)/162,3)</f>
        <v>1.58</v>
      </c>
      <c r="AC20" s="451">
        <v>12</v>
      </c>
      <c r="AD20" s="452">
        <f t="shared" si="1"/>
        <v>0</v>
      </c>
    </row>
    <row r="21" spans="1:30" s="438" customFormat="1" ht="15.75" customHeight="1">
      <c r="A21" s="445"/>
      <c r="B21" s="641" t="s">
        <v>853</v>
      </c>
      <c r="C21" s="642"/>
      <c r="D21" s="642"/>
      <c r="E21" s="642"/>
      <c r="F21" s="642"/>
      <c r="G21" s="642"/>
      <c r="H21" s="642"/>
      <c r="I21" s="643"/>
      <c r="J21" s="627" t="s">
        <v>848</v>
      </c>
      <c r="K21" s="628"/>
      <c r="L21" s="647">
        <v>0</v>
      </c>
      <c r="M21" s="648"/>
      <c r="N21" s="649"/>
      <c r="O21" s="629"/>
      <c r="P21" s="630"/>
      <c r="Q21" s="631"/>
      <c r="R21" s="446">
        <f t="shared" si="0"/>
        <v>0</v>
      </c>
      <c r="S21" s="632"/>
      <c r="T21" s="633"/>
      <c r="U21" s="633"/>
      <c r="V21" s="634"/>
      <c r="W21" s="437"/>
      <c r="X21" s="437"/>
      <c r="Y21" s="437"/>
      <c r="Z21" s="438">
        <v>0</v>
      </c>
      <c r="AA21" s="453">
        <v>0</v>
      </c>
      <c r="AB21" s="452">
        <f>ROUND((20*20)/162,3)</f>
        <v>2.4689999999999999</v>
      </c>
      <c r="AC21" s="453">
        <v>12</v>
      </c>
      <c r="AD21" s="452">
        <f t="shared" si="1"/>
        <v>0</v>
      </c>
    </row>
    <row r="22" spans="1:30" s="438" customFormat="1" ht="15.75" customHeight="1">
      <c r="A22" s="445"/>
      <c r="B22" s="641" t="s">
        <v>854</v>
      </c>
      <c r="C22" s="642"/>
      <c r="D22" s="642"/>
      <c r="E22" s="642"/>
      <c r="F22" s="642"/>
      <c r="G22" s="642"/>
      <c r="H22" s="642"/>
      <c r="I22" s="643"/>
      <c r="J22" s="627" t="s">
        <v>848</v>
      </c>
      <c r="K22" s="628"/>
      <c r="L22" s="647">
        <v>0</v>
      </c>
      <c r="M22" s="648"/>
      <c r="N22" s="649"/>
      <c r="O22" s="629"/>
      <c r="P22" s="630"/>
      <c r="Q22" s="631"/>
      <c r="R22" s="446">
        <f t="shared" si="0"/>
        <v>0</v>
      </c>
      <c r="S22" s="632"/>
      <c r="T22" s="633"/>
      <c r="U22" s="633"/>
      <c r="V22" s="634"/>
      <c r="W22" s="437"/>
      <c r="X22" s="437"/>
      <c r="Y22" s="437"/>
      <c r="Z22" s="438">
        <v>0</v>
      </c>
      <c r="AA22" s="453">
        <v>0</v>
      </c>
      <c r="AB22" s="452">
        <f>ROUND((25*25)/162,3)</f>
        <v>3.8580000000000001</v>
      </c>
      <c r="AC22" s="453">
        <v>12</v>
      </c>
      <c r="AD22" s="452">
        <f t="shared" si="1"/>
        <v>0</v>
      </c>
    </row>
    <row r="23" spans="1:30" s="438" customFormat="1" ht="15.75" customHeight="1">
      <c r="A23" s="445"/>
      <c r="B23" s="635" t="s">
        <v>855</v>
      </c>
      <c r="C23" s="636"/>
      <c r="D23" s="636"/>
      <c r="E23" s="636"/>
      <c r="F23" s="636"/>
      <c r="G23" s="636"/>
      <c r="H23" s="636"/>
      <c r="I23" s="637"/>
      <c r="J23" s="627" t="s">
        <v>848</v>
      </c>
      <c r="K23" s="628"/>
      <c r="L23" s="647">
        <f t="shared" ref="L23:L28" si="2">AD23</f>
        <v>0</v>
      </c>
      <c r="M23" s="648"/>
      <c r="N23" s="649"/>
      <c r="O23" s="629"/>
      <c r="P23" s="630"/>
      <c r="Q23" s="631"/>
      <c r="R23" s="446">
        <f t="shared" si="0"/>
        <v>0</v>
      </c>
      <c r="S23" s="447"/>
      <c r="T23" s="448"/>
      <c r="U23" s="448"/>
      <c r="V23" s="449"/>
      <c r="W23" s="437"/>
      <c r="X23" s="437"/>
      <c r="Y23" s="437" t="s">
        <v>647</v>
      </c>
      <c r="Z23" s="438">
        <v>21</v>
      </c>
      <c r="AA23" s="453">
        <v>0</v>
      </c>
      <c r="AB23" s="452"/>
      <c r="AC23" s="453"/>
      <c r="AD23" s="452">
        <f>ROUND((AA23)/1000,3)</f>
        <v>0</v>
      </c>
    </row>
    <row r="24" spans="1:30" s="438" customFormat="1" ht="15.75" customHeight="1">
      <c r="A24" s="445"/>
      <c r="B24" s="635" t="s">
        <v>856</v>
      </c>
      <c r="C24" s="636"/>
      <c r="D24" s="636"/>
      <c r="E24" s="636"/>
      <c r="F24" s="636"/>
      <c r="G24" s="636"/>
      <c r="H24" s="636"/>
      <c r="I24" s="637"/>
      <c r="J24" s="627" t="s">
        <v>848</v>
      </c>
      <c r="K24" s="628"/>
      <c r="L24" s="647">
        <f t="shared" si="2"/>
        <v>0</v>
      </c>
      <c r="M24" s="648"/>
      <c r="N24" s="649"/>
      <c r="O24" s="629"/>
      <c r="P24" s="630"/>
      <c r="Q24" s="631"/>
      <c r="R24" s="446">
        <f t="shared" si="0"/>
        <v>0</v>
      </c>
      <c r="S24" s="447"/>
      <c r="T24" s="448"/>
      <c r="U24" s="448"/>
      <c r="V24" s="449"/>
      <c r="W24" s="437"/>
      <c r="X24" s="437"/>
      <c r="Y24" s="437"/>
      <c r="Z24" s="438">
        <v>0</v>
      </c>
      <c r="AA24" s="453">
        <v>0</v>
      </c>
      <c r="AB24" s="452">
        <f>ROUND((10*10)/162,3)</f>
        <v>0.61699999999999999</v>
      </c>
      <c r="AC24" s="453">
        <v>6</v>
      </c>
      <c r="AD24" s="452">
        <f>ROUND((AA24*AB24*AC24)/1000,3)</f>
        <v>0</v>
      </c>
    </row>
    <row r="25" spans="1:30" s="438" customFormat="1" ht="15.75" customHeight="1">
      <c r="A25" s="445"/>
      <c r="B25" s="635" t="s">
        <v>857</v>
      </c>
      <c r="C25" s="636"/>
      <c r="D25" s="636"/>
      <c r="E25" s="636"/>
      <c r="F25" s="636"/>
      <c r="G25" s="636"/>
      <c r="H25" s="636"/>
      <c r="I25" s="637"/>
      <c r="J25" s="627" t="s">
        <v>848</v>
      </c>
      <c r="K25" s="628"/>
      <c r="L25" s="647">
        <f t="shared" si="2"/>
        <v>0</v>
      </c>
      <c r="M25" s="648"/>
      <c r="N25" s="649"/>
      <c r="O25" s="629"/>
      <c r="P25" s="630"/>
      <c r="Q25" s="631"/>
      <c r="R25" s="446">
        <f t="shared" si="0"/>
        <v>0</v>
      </c>
      <c r="S25" s="447"/>
      <c r="T25" s="448"/>
      <c r="U25" s="448"/>
      <c r="V25" s="449"/>
      <c r="W25" s="437"/>
      <c r="X25" s="437"/>
      <c r="Y25" s="437"/>
      <c r="Z25" s="438">
        <v>0</v>
      </c>
      <c r="AA25" s="451">
        <v>0</v>
      </c>
      <c r="AB25" s="452">
        <f>ROUND((16*16)/162,3)</f>
        <v>1.58</v>
      </c>
      <c r="AC25" s="451">
        <v>6</v>
      </c>
      <c r="AD25" s="452">
        <f>ROUND((AA25*AB25*AC25)/1000,3)</f>
        <v>0</v>
      </c>
    </row>
    <row r="26" spans="1:30" s="438" customFormat="1" ht="15.75" customHeight="1">
      <c r="A26" s="445"/>
      <c r="B26" s="635" t="s">
        <v>858</v>
      </c>
      <c r="C26" s="636"/>
      <c r="D26" s="636"/>
      <c r="E26" s="636"/>
      <c r="F26" s="636"/>
      <c r="G26" s="636"/>
      <c r="H26" s="636"/>
      <c r="I26" s="637"/>
      <c r="J26" s="627" t="s">
        <v>848</v>
      </c>
      <c r="K26" s="628"/>
      <c r="L26" s="647">
        <f t="shared" si="2"/>
        <v>0</v>
      </c>
      <c r="M26" s="648"/>
      <c r="N26" s="649"/>
      <c r="O26" s="629"/>
      <c r="P26" s="630"/>
      <c r="Q26" s="631"/>
      <c r="R26" s="446">
        <f t="shared" si="0"/>
        <v>0</v>
      </c>
      <c r="S26" s="447"/>
      <c r="T26" s="448"/>
      <c r="U26" s="448"/>
      <c r="V26" s="449"/>
      <c r="W26" s="437"/>
      <c r="X26" s="437"/>
      <c r="Y26" s="437"/>
      <c r="Z26" s="438">
        <v>0</v>
      </c>
      <c r="AA26" s="451">
        <v>0</v>
      </c>
      <c r="AB26" s="452">
        <f>ROUND((20*20)/162,3)</f>
        <v>2.4689999999999999</v>
      </c>
      <c r="AC26" s="453">
        <v>6</v>
      </c>
      <c r="AD26" s="452">
        <f>ROUND((AA26*AB26*AC26)/1000,3)</f>
        <v>0</v>
      </c>
    </row>
    <row r="27" spans="1:30" s="438" customFormat="1" ht="15.75" customHeight="1">
      <c r="A27" s="445"/>
      <c r="B27" s="635" t="s">
        <v>859</v>
      </c>
      <c r="C27" s="636"/>
      <c r="D27" s="636"/>
      <c r="E27" s="636"/>
      <c r="F27" s="636"/>
      <c r="G27" s="636"/>
      <c r="H27" s="636"/>
      <c r="I27" s="637"/>
      <c r="J27" s="627" t="s">
        <v>848</v>
      </c>
      <c r="K27" s="628"/>
      <c r="L27" s="647">
        <f t="shared" si="2"/>
        <v>0</v>
      </c>
      <c r="M27" s="648"/>
      <c r="N27" s="649"/>
      <c r="O27" s="629"/>
      <c r="P27" s="630"/>
      <c r="Q27" s="631"/>
      <c r="R27" s="446">
        <f t="shared" si="0"/>
        <v>0</v>
      </c>
      <c r="S27" s="447"/>
      <c r="T27" s="448"/>
      <c r="U27" s="448"/>
      <c r="V27" s="449"/>
      <c r="W27" s="437"/>
      <c r="X27" s="437"/>
      <c r="Y27" s="437"/>
      <c r="Z27" s="438">
        <v>0</v>
      </c>
      <c r="AA27" s="451">
        <v>0</v>
      </c>
      <c r="AB27" s="452">
        <f>ROUND((20*20)/162,3)</f>
        <v>2.4689999999999999</v>
      </c>
      <c r="AC27" s="451">
        <v>12</v>
      </c>
      <c r="AD27" s="452">
        <f>ROUND((AA27*AB27*AC27)/1000,3)</f>
        <v>0</v>
      </c>
    </row>
    <row r="28" spans="1:30" s="438" customFormat="1" ht="15.75" customHeight="1">
      <c r="A28" s="445"/>
      <c r="B28" s="635" t="s">
        <v>860</v>
      </c>
      <c r="C28" s="636"/>
      <c r="D28" s="636"/>
      <c r="E28" s="636"/>
      <c r="F28" s="636"/>
      <c r="G28" s="636"/>
      <c r="H28" s="636"/>
      <c r="I28" s="637"/>
      <c r="J28" s="627" t="s">
        <v>848</v>
      </c>
      <c r="K28" s="628"/>
      <c r="L28" s="647">
        <f t="shared" si="2"/>
        <v>0</v>
      </c>
      <c r="M28" s="648"/>
      <c r="N28" s="649"/>
      <c r="O28" s="629"/>
      <c r="P28" s="630"/>
      <c r="Q28" s="631"/>
      <c r="R28" s="446">
        <f t="shared" si="0"/>
        <v>0</v>
      </c>
      <c r="S28" s="447"/>
      <c r="T28" s="448"/>
      <c r="U28" s="448"/>
      <c r="V28" s="449"/>
      <c r="W28" s="437"/>
      <c r="X28" s="437"/>
      <c r="Y28" s="437"/>
      <c r="Z28" s="438">
        <v>0</v>
      </c>
      <c r="AA28" s="451">
        <v>0</v>
      </c>
      <c r="AB28" s="452">
        <f>ROUND((25*25)/162,3)</f>
        <v>3.8580000000000001</v>
      </c>
      <c r="AC28" s="453">
        <v>6</v>
      </c>
      <c r="AD28" s="452">
        <f>ROUND((AA28*AB28*AC28)/1000,3)</f>
        <v>0</v>
      </c>
    </row>
    <row r="29" spans="1:30" s="438" customFormat="1" ht="15.75" customHeight="1">
      <c r="A29" s="445"/>
      <c r="B29" s="624"/>
      <c r="C29" s="625"/>
      <c r="D29" s="625"/>
      <c r="E29" s="625"/>
      <c r="F29" s="625"/>
      <c r="G29" s="625"/>
      <c r="H29" s="625"/>
      <c r="I29" s="626"/>
      <c r="J29" s="627"/>
      <c r="K29" s="628"/>
      <c r="L29" s="650"/>
      <c r="M29" s="651"/>
      <c r="N29" s="652"/>
      <c r="O29" s="629"/>
      <c r="P29" s="630"/>
      <c r="Q29" s="631"/>
      <c r="R29" s="446"/>
      <c r="S29" s="632"/>
      <c r="T29" s="633"/>
      <c r="U29" s="633"/>
      <c r="V29" s="634"/>
      <c r="W29" s="437"/>
      <c r="X29" s="437"/>
      <c r="Y29" s="437"/>
      <c r="Z29" s="437">
        <v>0</v>
      </c>
      <c r="AA29" s="438">
        <v>0</v>
      </c>
      <c r="AB29" s="452"/>
      <c r="AD29" s="452"/>
    </row>
    <row r="30" spans="1:30" s="438" customFormat="1" ht="15.75" customHeight="1">
      <c r="A30" s="445">
        <v>4</v>
      </c>
      <c r="B30" s="635" t="s">
        <v>861</v>
      </c>
      <c r="C30" s="636"/>
      <c r="D30" s="636"/>
      <c r="E30" s="636"/>
      <c r="F30" s="636"/>
      <c r="G30" s="636"/>
      <c r="H30" s="636"/>
      <c r="I30" s="637"/>
      <c r="J30" s="627" t="s">
        <v>862</v>
      </c>
      <c r="K30" s="628"/>
      <c r="L30" s="638">
        <v>0</v>
      </c>
      <c r="M30" s="639"/>
      <c r="N30" s="640"/>
      <c r="O30" s="629"/>
      <c r="P30" s="630"/>
      <c r="Q30" s="631"/>
      <c r="R30" s="446">
        <f>L30*O30</f>
        <v>0</v>
      </c>
      <c r="S30" s="632"/>
      <c r="T30" s="633"/>
      <c r="U30" s="633"/>
      <c r="V30" s="634"/>
      <c r="W30" s="437"/>
      <c r="X30" s="437"/>
      <c r="Y30" s="437"/>
      <c r="Z30" s="437"/>
      <c r="AB30" s="438">
        <v>2.83</v>
      </c>
      <c r="AD30" s="452">
        <f>ROUND(AA30*AB30,2)</f>
        <v>0</v>
      </c>
    </row>
    <row r="31" spans="1:30" s="438" customFormat="1" ht="15.75" customHeight="1">
      <c r="A31" s="445"/>
      <c r="B31" s="624"/>
      <c r="C31" s="625"/>
      <c r="D31" s="625"/>
      <c r="E31" s="625"/>
      <c r="F31" s="625"/>
      <c r="G31" s="625"/>
      <c r="H31" s="625"/>
      <c r="I31" s="626"/>
      <c r="J31" s="627"/>
      <c r="K31" s="628"/>
      <c r="L31" s="638"/>
      <c r="M31" s="639"/>
      <c r="N31" s="640"/>
      <c r="O31" s="629"/>
      <c r="P31" s="630"/>
      <c r="Q31" s="631"/>
      <c r="R31" s="446"/>
      <c r="S31" s="632"/>
      <c r="T31" s="633"/>
      <c r="U31" s="633"/>
      <c r="V31" s="634"/>
      <c r="W31" s="437"/>
      <c r="X31" s="437"/>
      <c r="Y31" s="437"/>
      <c r="Z31" s="437"/>
      <c r="AB31" s="452"/>
      <c r="AD31" s="452"/>
    </row>
    <row r="32" spans="1:30" s="438" customFormat="1" ht="15.75" customHeight="1">
      <c r="A32" s="445">
        <v>5</v>
      </c>
      <c r="B32" s="635" t="s">
        <v>863</v>
      </c>
      <c r="C32" s="636"/>
      <c r="D32" s="636"/>
      <c r="E32" s="636"/>
      <c r="F32" s="636"/>
      <c r="G32" s="636"/>
      <c r="H32" s="636"/>
      <c r="I32" s="637"/>
      <c r="J32" s="627" t="s">
        <v>109</v>
      </c>
      <c r="K32" s="628"/>
      <c r="L32" s="638">
        <v>0</v>
      </c>
      <c r="M32" s="639"/>
      <c r="N32" s="640"/>
      <c r="O32" s="629"/>
      <c r="P32" s="630"/>
      <c r="Q32" s="631"/>
      <c r="R32" s="446">
        <f>L32*O32</f>
        <v>0</v>
      </c>
      <c r="S32" s="632"/>
      <c r="T32" s="633"/>
      <c r="U32" s="633"/>
      <c r="V32" s="634"/>
      <c r="W32" s="437"/>
      <c r="X32" s="437"/>
      <c r="Y32" s="437"/>
      <c r="Z32" s="437"/>
      <c r="AB32" s="452"/>
      <c r="AD32" s="452"/>
    </row>
    <row r="33" spans="1:32" s="438" customFormat="1" ht="15.75" customHeight="1">
      <c r="A33" s="445"/>
      <c r="B33" s="624"/>
      <c r="C33" s="625"/>
      <c r="D33" s="625"/>
      <c r="E33" s="625"/>
      <c r="F33" s="625"/>
      <c r="G33" s="625"/>
      <c r="H33" s="625"/>
      <c r="I33" s="626"/>
      <c r="J33" s="627"/>
      <c r="K33" s="628"/>
      <c r="L33" s="638"/>
      <c r="M33" s="639"/>
      <c r="N33" s="640"/>
      <c r="O33" s="629"/>
      <c r="P33" s="630"/>
      <c r="Q33" s="631"/>
      <c r="R33" s="446"/>
      <c r="S33" s="632"/>
      <c r="T33" s="633"/>
      <c r="U33" s="633"/>
      <c r="V33" s="634"/>
      <c r="W33" s="437"/>
      <c r="X33" s="437"/>
      <c r="Y33" s="437"/>
      <c r="Z33" s="437"/>
      <c r="AB33" s="452"/>
      <c r="AD33" s="452"/>
    </row>
    <row r="34" spans="1:32" ht="15.75" customHeight="1">
      <c r="A34" s="445">
        <v>6</v>
      </c>
      <c r="B34" s="635" t="s">
        <v>864</v>
      </c>
      <c r="C34" s="636"/>
      <c r="D34" s="636"/>
      <c r="E34" s="636"/>
      <c r="F34" s="636"/>
      <c r="G34" s="636"/>
      <c r="H34" s="636"/>
      <c r="I34" s="637"/>
      <c r="J34" s="627" t="s">
        <v>862</v>
      </c>
      <c r="K34" s="628"/>
      <c r="L34" s="644">
        <v>0</v>
      </c>
      <c r="M34" s="645"/>
      <c r="N34" s="646"/>
      <c r="O34" s="629"/>
      <c r="P34" s="630"/>
      <c r="Q34" s="631"/>
      <c r="R34" s="446">
        <f>L34*O34</f>
        <v>0</v>
      </c>
      <c r="S34" s="632"/>
      <c r="T34" s="633"/>
      <c r="U34" s="633"/>
      <c r="V34" s="634"/>
      <c r="W34" s="454">
        <f>950*2.83/1.42</f>
        <v>1893.31</v>
      </c>
      <c r="X34" s="437">
        <v>4876.13</v>
      </c>
      <c r="Z34" s="437">
        <v>6297.64</v>
      </c>
      <c r="AA34" s="438">
        <f>Z34*O34</f>
        <v>0</v>
      </c>
      <c r="AB34" s="452"/>
      <c r="AD34" s="452">
        <f>ROUND(AA34+AB34,2)</f>
        <v>0</v>
      </c>
    </row>
    <row r="35" spans="1:32" ht="15.75" customHeight="1">
      <c r="A35" s="445"/>
      <c r="B35" s="624"/>
      <c r="C35" s="625"/>
      <c r="D35" s="625"/>
      <c r="E35" s="625"/>
      <c r="F35" s="625"/>
      <c r="G35" s="625"/>
      <c r="H35" s="625"/>
      <c r="I35" s="626"/>
      <c r="J35" s="627"/>
      <c r="K35" s="628"/>
      <c r="L35" s="638"/>
      <c r="M35" s="639"/>
      <c r="N35" s="640"/>
      <c r="O35" s="629"/>
      <c r="P35" s="630"/>
      <c r="Q35" s="631"/>
      <c r="R35" s="446"/>
      <c r="S35" s="632"/>
      <c r="T35" s="633"/>
      <c r="U35" s="633"/>
      <c r="V35" s="634"/>
      <c r="W35" s="437">
        <v>3874.25</v>
      </c>
      <c r="AA35" s="438">
        <f>AA34-R34</f>
        <v>0</v>
      </c>
      <c r="AB35" s="452"/>
      <c r="AD35" s="452"/>
    </row>
    <row r="36" spans="1:32" ht="15.75" customHeight="1">
      <c r="A36" s="445">
        <v>7</v>
      </c>
      <c r="B36" s="635" t="s">
        <v>773</v>
      </c>
      <c r="C36" s="636"/>
      <c r="D36" s="636"/>
      <c r="E36" s="636"/>
      <c r="F36" s="636"/>
      <c r="G36" s="636"/>
      <c r="H36" s="636"/>
      <c r="I36" s="637"/>
      <c r="J36" s="627" t="s">
        <v>862</v>
      </c>
      <c r="K36" s="628"/>
      <c r="L36" s="638">
        <v>0</v>
      </c>
      <c r="M36" s="639"/>
      <c r="N36" s="640"/>
      <c r="O36" s="629"/>
      <c r="P36" s="630"/>
      <c r="Q36" s="631"/>
      <c r="R36" s="446">
        <f>L36*O36</f>
        <v>0</v>
      </c>
      <c r="S36" s="632"/>
      <c r="T36" s="633"/>
      <c r="U36" s="633"/>
      <c r="V36" s="634"/>
      <c r="W36" s="437">
        <f>W34-W35</f>
        <v>-1980.94</v>
      </c>
      <c r="X36" s="455">
        <f>W36*O34</f>
        <v>0</v>
      </c>
      <c r="AA36" s="438">
        <v>0</v>
      </c>
      <c r="AB36" s="438">
        <v>2.83</v>
      </c>
      <c r="AD36" s="452">
        <f>ROUND(AA36*AB36,2)</f>
        <v>0</v>
      </c>
    </row>
    <row r="37" spans="1:32" ht="15.75" customHeight="1">
      <c r="A37" s="445">
        <v>8</v>
      </c>
      <c r="B37" s="635" t="s">
        <v>865</v>
      </c>
      <c r="C37" s="636"/>
      <c r="D37" s="636"/>
      <c r="E37" s="636"/>
      <c r="F37" s="636"/>
      <c r="G37" s="636"/>
      <c r="H37" s="636"/>
      <c r="I37" s="637"/>
      <c r="J37" s="627"/>
      <c r="K37" s="628"/>
      <c r="L37" s="638"/>
      <c r="M37" s="639"/>
      <c r="N37" s="640"/>
      <c r="O37" s="629"/>
      <c r="P37" s="630"/>
      <c r="Q37" s="631"/>
      <c r="R37" s="446"/>
      <c r="S37" s="632"/>
      <c r="T37" s="633"/>
      <c r="U37" s="633"/>
      <c r="V37" s="634"/>
    </row>
    <row r="38" spans="1:32" ht="15.75" customHeight="1">
      <c r="A38" s="445"/>
      <c r="B38" s="624"/>
      <c r="C38" s="625"/>
      <c r="D38" s="625"/>
      <c r="E38" s="625"/>
      <c r="F38" s="625"/>
      <c r="G38" s="625"/>
      <c r="H38" s="625"/>
      <c r="I38" s="626"/>
      <c r="J38" s="627" t="s">
        <v>374</v>
      </c>
      <c r="K38" s="628"/>
      <c r="L38" s="644">
        <v>0</v>
      </c>
      <c r="M38" s="645"/>
      <c r="N38" s="646"/>
      <c r="O38" s="629"/>
      <c r="P38" s="630"/>
      <c r="Q38" s="631"/>
      <c r="R38" s="446">
        <f>L38*O38</f>
        <v>0</v>
      </c>
      <c r="S38" s="447"/>
      <c r="T38" s="448"/>
      <c r="U38" s="448"/>
      <c r="V38" s="449"/>
    </row>
    <row r="39" spans="1:32" ht="15.75" customHeight="1">
      <c r="A39" s="445"/>
      <c r="B39" s="624"/>
      <c r="C39" s="625"/>
      <c r="D39" s="625"/>
      <c r="E39" s="625"/>
      <c r="F39" s="625"/>
      <c r="G39" s="625"/>
      <c r="H39" s="625"/>
      <c r="I39" s="626"/>
      <c r="J39" s="627"/>
      <c r="K39" s="628"/>
      <c r="L39" s="638"/>
      <c r="M39" s="639"/>
      <c r="N39" s="640"/>
      <c r="O39" s="629"/>
      <c r="P39" s="630"/>
      <c r="Q39" s="631"/>
      <c r="R39" s="446"/>
      <c r="S39" s="632"/>
      <c r="T39" s="633"/>
      <c r="U39" s="633"/>
      <c r="V39" s="634"/>
    </row>
    <row r="40" spans="1:32" ht="15.75" customHeight="1">
      <c r="A40" s="445">
        <v>9</v>
      </c>
      <c r="B40" s="635" t="s">
        <v>802</v>
      </c>
      <c r="C40" s="636"/>
      <c r="D40" s="636"/>
      <c r="E40" s="636"/>
      <c r="F40" s="636"/>
      <c r="G40" s="636"/>
      <c r="H40" s="636"/>
      <c r="I40" s="637"/>
      <c r="J40" s="627" t="s">
        <v>862</v>
      </c>
      <c r="K40" s="628"/>
      <c r="L40" s="629">
        <f>AD40</f>
        <v>0</v>
      </c>
      <c r="M40" s="630"/>
      <c r="N40" s="631"/>
      <c r="O40" s="629">
        <v>0</v>
      </c>
      <c r="P40" s="630"/>
      <c r="Q40" s="631"/>
      <c r="R40" s="446">
        <f>L40*O40</f>
        <v>0</v>
      </c>
      <c r="S40" s="632"/>
      <c r="T40" s="633"/>
      <c r="U40" s="633"/>
      <c r="V40" s="634"/>
      <c r="AB40" s="438">
        <v>2.83</v>
      </c>
      <c r="AD40" s="438">
        <f>ROUND(AA40*AB40,2)</f>
        <v>0</v>
      </c>
    </row>
    <row r="41" spans="1:32" ht="15.75" customHeight="1">
      <c r="A41" s="445">
        <v>10</v>
      </c>
      <c r="B41" s="635" t="s">
        <v>866</v>
      </c>
      <c r="C41" s="636"/>
      <c r="D41" s="636"/>
      <c r="E41" s="636"/>
      <c r="F41" s="636"/>
      <c r="G41" s="636"/>
      <c r="H41" s="636"/>
      <c r="I41" s="637"/>
      <c r="J41" s="627" t="s">
        <v>374</v>
      </c>
      <c r="K41" s="628"/>
      <c r="L41" s="629">
        <v>0</v>
      </c>
      <c r="M41" s="630"/>
      <c r="N41" s="631"/>
      <c r="O41" s="629">
        <v>0</v>
      </c>
      <c r="P41" s="630"/>
      <c r="Q41" s="631"/>
      <c r="R41" s="446">
        <f>L41*O41</f>
        <v>0</v>
      </c>
      <c r="S41" s="632"/>
      <c r="T41" s="633"/>
      <c r="U41" s="633"/>
      <c r="V41" s="634"/>
    </row>
    <row r="42" spans="1:32" ht="15.75" customHeight="1">
      <c r="A42" s="445">
        <v>11</v>
      </c>
      <c r="B42" s="635" t="s">
        <v>867</v>
      </c>
      <c r="C42" s="636"/>
      <c r="D42" s="636"/>
      <c r="E42" s="636"/>
      <c r="F42" s="636"/>
      <c r="G42" s="636"/>
      <c r="H42" s="636"/>
      <c r="I42" s="637"/>
      <c r="J42" s="627" t="s">
        <v>374</v>
      </c>
      <c r="K42" s="628"/>
      <c r="L42" s="629">
        <v>0</v>
      </c>
      <c r="M42" s="630"/>
      <c r="N42" s="631"/>
      <c r="O42" s="629">
        <v>0</v>
      </c>
      <c r="P42" s="630"/>
      <c r="Q42" s="631"/>
      <c r="R42" s="446">
        <f>L42*O42</f>
        <v>0</v>
      </c>
      <c r="S42" s="632"/>
      <c r="T42" s="633"/>
      <c r="U42" s="633"/>
      <c r="V42" s="634"/>
    </row>
    <row r="43" spans="1:32" ht="15.75" customHeight="1">
      <c r="A43" s="456"/>
      <c r="B43" s="624"/>
      <c r="C43" s="625"/>
      <c r="D43" s="625"/>
      <c r="E43" s="625"/>
      <c r="F43" s="625"/>
      <c r="G43" s="625"/>
      <c r="H43" s="625"/>
      <c r="I43" s="626"/>
      <c r="J43" s="627"/>
      <c r="K43" s="628"/>
      <c r="L43" s="629"/>
      <c r="M43" s="630"/>
      <c r="N43" s="631"/>
      <c r="O43" s="629"/>
      <c r="P43" s="630"/>
      <c r="Q43" s="631"/>
      <c r="R43" s="446"/>
      <c r="S43" s="632"/>
      <c r="T43" s="633"/>
      <c r="U43" s="633"/>
      <c r="V43" s="634"/>
    </row>
    <row r="44" spans="1:32" ht="17.25" customHeight="1">
      <c r="A44" s="653" t="s">
        <v>783</v>
      </c>
      <c r="B44" s="654"/>
      <c r="C44" s="654"/>
      <c r="D44" s="654"/>
      <c r="E44" s="654"/>
      <c r="F44" s="654"/>
      <c r="G44" s="654"/>
      <c r="H44" s="654"/>
      <c r="I44" s="654"/>
      <c r="J44" s="654"/>
      <c r="K44" s="654"/>
      <c r="L44" s="654"/>
      <c r="M44" s="654"/>
      <c r="N44" s="654"/>
      <c r="O44" s="654"/>
      <c r="P44" s="654"/>
      <c r="Q44" s="655"/>
      <c r="R44" s="457">
        <f>ROUND(SUM(R9:R42),2)</f>
        <v>0</v>
      </c>
      <c r="S44" s="656"/>
      <c r="T44" s="657"/>
      <c r="U44" s="657"/>
      <c r="V44" s="658"/>
      <c r="W44" s="437">
        <v>25455255.800000001</v>
      </c>
      <c r="X44" s="455">
        <f>W44-R44</f>
        <v>25455255.800000001</v>
      </c>
      <c r="AB44" s="438">
        <v>21412465.199999999</v>
      </c>
      <c r="AC44" s="438">
        <f>R44-AB44</f>
        <v>-21412465.199999999</v>
      </c>
      <c r="AE44" s="438">
        <v>3230.6</v>
      </c>
    </row>
    <row r="45" spans="1:32" s="459" customFormat="1" ht="18" customHeight="1" thickBot="1">
      <c r="A45" s="653" t="s">
        <v>868</v>
      </c>
      <c r="B45" s="654"/>
      <c r="C45" s="654"/>
      <c r="D45" s="654"/>
      <c r="E45" s="654"/>
      <c r="F45" s="654"/>
      <c r="G45" s="654"/>
      <c r="H45" s="654"/>
      <c r="I45" s="654"/>
      <c r="J45" s="654"/>
      <c r="K45" s="654"/>
      <c r="L45" s="654"/>
      <c r="M45" s="654"/>
      <c r="N45" s="654"/>
      <c r="O45" s="654"/>
      <c r="P45" s="654"/>
      <c r="Q45" s="654"/>
      <c r="R45" s="458">
        <f>ROUND(R44*0.8,2)</f>
        <v>0</v>
      </c>
      <c r="S45" s="656"/>
      <c r="T45" s="657"/>
      <c r="U45" s="657"/>
      <c r="V45" s="658"/>
      <c r="W45" s="459">
        <v>20364204.640000001</v>
      </c>
      <c r="X45" s="455">
        <f>W45-R45</f>
        <v>20364204.640000001</v>
      </c>
      <c r="AA45" s="438"/>
      <c r="AB45" s="460">
        <v>17129972.16</v>
      </c>
      <c r="AC45" s="438">
        <f>R45-AB45</f>
        <v>-17129972.16</v>
      </c>
      <c r="AD45" s="460"/>
      <c r="AE45" s="460">
        <f>AE44*2.83/1.42</f>
        <v>6438.45</v>
      </c>
      <c r="AF45" s="460">
        <f>L34-AE45</f>
        <v>-6438.45</v>
      </c>
    </row>
    <row r="46" spans="1:32" ht="15" customHeight="1" thickTop="1">
      <c r="A46" s="665" t="s">
        <v>869</v>
      </c>
      <c r="B46" s="666"/>
      <c r="C46" s="666"/>
      <c r="D46" s="666"/>
      <c r="E46" s="666"/>
      <c r="F46" s="666"/>
      <c r="G46" s="666"/>
      <c r="H46" s="666"/>
      <c r="I46" s="666"/>
      <c r="J46" s="666"/>
      <c r="K46" s="666"/>
      <c r="L46" s="666"/>
      <c r="M46" s="666"/>
      <c r="N46" s="666"/>
      <c r="O46" s="666"/>
      <c r="P46" s="666"/>
      <c r="Q46" s="666"/>
      <c r="R46" s="666"/>
      <c r="S46" s="666"/>
      <c r="T46" s="666"/>
      <c r="U46" s="666"/>
      <c r="V46" s="667"/>
    </row>
    <row r="47" spans="1:32" ht="9" customHeight="1">
      <c r="A47" s="668"/>
      <c r="B47" s="669"/>
      <c r="C47" s="669"/>
      <c r="D47" s="669"/>
      <c r="E47" s="669"/>
      <c r="F47" s="669"/>
      <c r="G47" s="669"/>
      <c r="H47" s="669"/>
      <c r="I47" s="669"/>
      <c r="J47" s="669"/>
      <c r="K47" s="669"/>
      <c r="L47" s="669"/>
      <c r="M47" s="669"/>
      <c r="N47" s="669"/>
      <c r="O47" s="669"/>
      <c r="P47" s="669"/>
      <c r="Q47" s="669"/>
      <c r="R47" s="669"/>
      <c r="S47" s="669"/>
      <c r="T47" s="669"/>
      <c r="U47" s="669"/>
      <c r="V47" s="670"/>
    </row>
    <row r="48" spans="1:32" ht="23.25" customHeight="1">
      <c r="A48" s="671" t="s">
        <v>870</v>
      </c>
      <c r="B48" s="672"/>
      <c r="C48" s="672"/>
      <c r="D48" s="672"/>
      <c r="E48" s="672"/>
      <c r="F48" s="672" t="s">
        <v>871</v>
      </c>
      <c r="G48" s="672"/>
      <c r="H48" s="672"/>
      <c r="I48" s="672"/>
      <c r="J48" s="672"/>
      <c r="K48" s="672"/>
      <c r="L48" s="461" t="s">
        <v>872</v>
      </c>
      <c r="M48" s="461"/>
      <c r="N48" s="461"/>
      <c r="O48" s="461"/>
      <c r="P48" s="461"/>
      <c r="Q48" s="461"/>
      <c r="R48" s="461" t="s">
        <v>873</v>
      </c>
      <c r="S48" s="461"/>
      <c r="T48" s="461"/>
      <c r="U48" s="461"/>
      <c r="V48" s="462"/>
    </row>
    <row r="49" spans="1:26">
      <c r="A49" s="673" t="s">
        <v>874</v>
      </c>
      <c r="B49" s="661"/>
      <c r="C49" s="661"/>
      <c r="D49" s="661"/>
      <c r="E49" s="674" t="s">
        <v>875</v>
      </c>
      <c r="F49" s="674"/>
      <c r="G49" s="674"/>
      <c r="H49" s="674"/>
      <c r="I49" s="674"/>
      <c r="J49" s="674"/>
      <c r="K49" s="661" t="s">
        <v>876</v>
      </c>
      <c r="L49" s="661"/>
      <c r="M49" s="661"/>
      <c r="N49" s="661"/>
      <c r="O49" s="661"/>
      <c r="P49" s="661"/>
      <c r="Q49" s="661" t="s">
        <v>877</v>
      </c>
      <c r="R49" s="661"/>
      <c r="S49" s="661"/>
      <c r="T49" s="661"/>
      <c r="U49" s="661"/>
      <c r="V49" s="675"/>
    </row>
    <row r="50" spans="1:26" ht="15.75" customHeight="1">
      <c r="A50" s="659" t="s">
        <v>67</v>
      </c>
      <c r="B50" s="660"/>
      <c r="C50" s="660"/>
      <c r="D50" s="660"/>
      <c r="E50" s="661" t="s">
        <v>70</v>
      </c>
      <c r="F50" s="661"/>
      <c r="G50" s="661"/>
      <c r="H50" s="661"/>
      <c r="I50" s="661"/>
      <c r="J50" s="661"/>
      <c r="K50" s="463"/>
      <c r="L50" s="661" t="s">
        <v>878</v>
      </c>
      <c r="M50" s="661"/>
      <c r="N50" s="661"/>
      <c r="O50" s="661"/>
      <c r="P50" s="661"/>
      <c r="Q50" s="661"/>
      <c r="R50" s="661" t="s">
        <v>879</v>
      </c>
      <c r="S50" s="661"/>
      <c r="T50" s="661"/>
      <c r="U50" s="661"/>
      <c r="V50" s="464"/>
      <c r="X50" s="437">
        <v>11119812</v>
      </c>
      <c r="Z50" s="455">
        <f>R45-X50</f>
        <v>-11119812</v>
      </c>
    </row>
    <row r="51" spans="1:26" ht="21" customHeight="1">
      <c r="A51" s="465" t="s">
        <v>880</v>
      </c>
      <c r="B51" s="466"/>
      <c r="C51" s="466"/>
      <c r="D51" s="466"/>
      <c r="E51" s="466"/>
      <c r="F51" s="662" t="s">
        <v>881</v>
      </c>
      <c r="G51" s="662"/>
      <c r="H51" s="662"/>
      <c r="I51" s="662"/>
      <c r="J51" s="662"/>
      <c r="K51" s="467"/>
      <c r="L51" s="662" t="s">
        <v>882</v>
      </c>
      <c r="M51" s="662"/>
      <c r="N51" s="662"/>
      <c r="O51" s="662"/>
      <c r="P51" s="662"/>
      <c r="Q51" s="466"/>
      <c r="R51" s="663" t="s">
        <v>883</v>
      </c>
      <c r="S51" s="663"/>
      <c r="T51" s="663"/>
      <c r="U51" s="663"/>
      <c r="V51" s="664"/>
    </row>
    <row r="52" spans="1:26">
      <c r="R52" s="469">
        <v>5640130.2400000002</v>
      </c>
    </row>
    <row r="53" spans="1:26">
      <c r="R53" s="469">
        <f>R52-R45</f>
        <v>5640130.2400000002</v>
      </c>
    </row>
    <row r="68" spans="26:26">
      <c r="Z68" s="437">
        <f>25/8*1</f>
        <v>3.125</v>
      </c>
    </row>
  </sheetData>
  <mergeCells count="207">
    <mergeCell ref="A50:D50"/>
    <mergeCell ref="E50:J50"/>
    <mergeCell ref="L50:Q50"/>
    <mergeCell ref="R50:U50"/>
    <mergeCell ref="F51:J51"/>
    <mergeCell ref="L51:P51"/>
    <mergeCell ref="R51:V51"/>
    <mergeCell ref="A45:Q45"/>
    <mergeCell ref="S45:V45"/>
    <mergeCell ref="A46:V47"/>
    <mergeCell ref="A48:E48"/>
    <mergeCell ref="F48:K48"/>
    <mergeCell ref="A49:D49"/>
    <mergeCell ref="E49:J49"/>
    <mergeCell ref="K49:P49"/>
    <mergeCell ref="Q49:V49"/>
    <mergeCell ref="B43:I43"/>
    <mergeCell ref="J43:K43"/>
    <mergeCell ref="L43:N43"/>
    <mergeCell ref="O43:Q43"/>
    <mergeCell ref="S43:V43"/>
    <mergeCell ref="A44:Q44"/>
    <mergeCell ref="S44:V44"/>
    <mergeCell ref="B41:I41"/>
    <mergeCell ref="J41:K41"/>
    <mergeCell ref="L41:N41"/>
    <mergeCell ref="O41:Q41"/>
    <mergeCell ref="S41:V41"/>
    <mergeCell ref="B42:I42"/>
    <mergeCell ref="J42:K42"/>
    <mergeCell ref="L42:N42"/>
    <mergeCell ref="O42:Q42"/>
    <mergeCell ref="S42:V42"/>
    <mergeCell ref="B39:I39"/>
    <mergeCell ref="J39:K39"/>
    <mergeCell ref="L39:N39"/>
    <mergeCell ref="O39:Q39"/>
    <mergeCell ref="S39:V39"/>
    <mergeCell ref="B40:I40"/>
    <mergeCell ref="J40:K40"/>
    <mergeCell ref="L40:N40"/>
    <mergeCell ref="O40:Q40"/>
    <mergeCell ref="S40:V40"/>
    <mergeCell ref="B37:I37"/>
    <mergeCell ref="J37:K37"/>
    <mergeCell ref="L37:N37"/>
    <mergeCell ref="O37:Q37"/>
    <mergeCell ref="S37:V37"/>
    <mergeCell ref="B38:I38"/>
    <mergeCell ref="J38:K38"/>
    <mergeCell ref="L38:N38"/>
    <mergeCell ref="O38:Q38"/>
    <mergeCell ref="B35:I35"/>
    <mergeCell ref="J35:K35"/>
    <mergeCell ref="L35:N35"/>
    <mergeCell ref="O35:Q35"/>
    <mergeCell ref="S35:V35"/>
    <mergeCell ref="B36:I36"/>
    <mergeCell ref="J36:K36"/>
    <mergeCell ref="L36:N36"/>
    <mergeCell ref="O36:Q36"/>
    <mergeCell ref="S36:V36"/>
    <mergeCell ref="B33:I33"/>
    <mergeCell ref="J33:K33"/>
    <mergeCell ref="L33:N33"/>
    <mergeCell ref="O33:Q33"/>
    <mergeCell ref="S33:V33"/>
    <mergeCell ref="B34:I34"/>
    <mergeCell ref="J34:K34"/>
    <mergeCell ref="L34:N34"/>
    <mergeCell ref="O34:Q34"/>
    <mergeCell ref="S34:V34"/>
    <mergeCell ref="B31:I31"/>
    <mergeCell ref="J31:K31"/>
    <mergeCell ref="L31:N31"/>
    <mergeCell ref="O31:Q31"/>
    <mergeCell ref="S31:V31"/>
    <mergeCell ref="B32:I32"/>
    <mergeCell ref="J32:K32"/>
    <mergeCell ref="L32:N32"/>
    <mergeCell ref="O32:Q32"/>
    <mergeCell ref="S32:V32"/>
    <mergeCell ref="S29:V29"/>
    <mergeCell ref="B30:I30"/>
    <mergeCell ref="J30:K30"/>
    <mergeCell ref="L30:N30"/>
    <mergeCell ref="O30:Q30"/>
    <mergeCell ref="S30:V30"/>
    <mergeCell ref="B28:I28"/>
    <mergeCell ref="J28:K28"/>
    <mergeCell ref="L28:N28"/>
    <mergeCell ref="O28:Q28"/>
    <mergeCell ref="B29:I29"/>
    <mergeCell ref="J29:K29"/>
    <mergeCell ref="L29:N29"/>
    <mergeCell ref="O29:Q29"/>
    <mergeCell ref="B26:I26"/>
    <mergeCell ref="J26:K26"/>
    <mergeCell ref="L26:N26"/>
    <mergeCell ref="O26:Q26"/>
    <mergeCell ref="B27:I27"/>
    <mergeCell ref="J27:K27"/>
    <mergeCell ref="L27:N27"/>
    <mergeCell ref="O27:Q27"/>
    <mergeCell ref="B24:I24"/>
    <mergeCell ref="J24:K24"/>
    <mergeCell ref="L24:N24"/>
    <mergeCell ref="O24:Q24"/>
    <mergeCell ref="B25:I25"/>
    <mergeCell ref="J25:K25"/>
    <mergeCell ref="L25:N25"/>
    <mergeCell ref="O25:Q25"/>
    <mergeCell ref="B22:I22"/>
    <mergeCell ref="J22:K22"/>
    <mergeCell ref="L22:N22"/>
    <mergeCell ref="O22:Q22"/>
    <mergeCell ref="S22:V22"/>
    <mergeCell ref="B23:I23"/>
    <mergeCell ref="J23:K23"/>
    <mergeCell ref="L23:N23"/>
    <mergeCell ref="O23:Q23"/>
    <mergeCell ref="S20:V20"/>
    <mergeCell ref="B21:I21"/>
    <mergeCell ref="J21:K21"/>
    <mergeCell ref="L21:N21"/>
    <mergeCell ref="O21:Q21"/>
    <mergeCell ref="S21:V21"/>
    <mergeCell ref="B19:I19"/>
    <mergeCell ref="J19:K19"/>
    <mergeCell ref="L19:N19"/>
    <mergeCell ref="O19:Q19"/>
    <mergeCell ref="B20:I20"/>
    <mergeCell ref="J20:K20"/>
    <mergeCell ref="L20:N20"/>
    <mergeCell ref="O20:Q20"/>
    <mergeCell ref="B17:I17"/>
    <mergeCell ref="J17:K17"/>
    <mergeCell ref="L17:N17"/>
    <mergeCell ref="O17:Q17"/>
    <mergeCell ref="S17:V17"/>
    <mergeCell ref="B18:I18"/>
    <mergeCell ref="J18:K18"/>
    <mergeCell ref="L18:N18"/>
    <mergeCell ref="O18:Q18"/>
    <mergeCell ref="S18:V18"/>
    <mergeCell ref="B15:I15"/>
    <mergeCell ref="J15:K15"/>
    <mergeCell ref="L15:N15"/>
    <mergeCell ref="O15:Q15"/>
    <mergeCell ref="S15:V15"/>
    <mergeCell ref="B16:I16"/>
    <mergeCell ref="J16:K16"/>
    <mergeCell ref="L16:N16"/>
    <mergeCell ref="O16:Q16"/>
    <mergeCell ref="S16:V16"/>
    <mergeCell ref="B13:I13"/>
    <mergeCell ref="J13:K13"/>
    <mergeCell ref="L13:N13"/>
    <mergeCell ref="O13:Q13"/>
    <mergeCell ref="S13:V13"/>
    <mergeCell ref="B14:I14"/>
    <mergeCell ref="J14:K14"/>
    <mergeCell ref="L14:N14"/>
    <mergeCell ref="O14:Q14"/>
    <mergeCell ref="B11:I11"/>
    <mergeCell ref="J11:K11"/>
    <mergeCell ref="L11:N11"/>
    <mergeCell ref="O11:Q11"/>
    <mergeCell ref="S11:V11"/>
    <mergeCell ref="B12:I12"/>
    <mergeCell ref="J12:K12"/>
    <mergeCell ref="L12:N12"/>
    <mergeCell ref="O12:Q12"/>
    <mergeCell ref="S12:V12"/>
    <mergeCell ref="B9:I9"/>
    <mergeCell ref="J9:K9"/>
    <mergeCell ref="L9:N9"/>
    <mergeCell ref="O9:Q9"/>
    <mergeCell ref="S9:V9"/>
    <mergeCell ref="B10:I10"/>
    <mergeCell ref="J10:K10"/>
    <mergeCell ref="L10:N10"/>
    <mergeCell ref="O10:Q10"/>
    <mergeCell ref="S10:V10"/>
    <mergeCell ref="A7:V7"/>
    <mergeCell ref="B8:I8"/>
    <mergeCell ref="J8:K8"/>
    <mergeCell ref="L8:N8"/>
    <mergeCell ref="O8:Q8"/>
    <mergeCell ref="S8:V8"/>
    <mergeCell ref="A5:C5"/>
    <mergeCell ref="D5:N5"/>
    <mergeCell ref="O5:S5"/>
    <mergeCell ref="T5:V5"/>
    <mergeCell ref="A6:C6"/>
    <mergeCell ref="D6:N6"/>
    <mergeCell ref="O6:S6"/>
    <mergeCell ref="T6:V6"/>
    <mergeCell ref="A1:V2"/>
    <mergeCell ref="A3:F3"/>
    <mergeCell ref="G3:Q3"/>
    <mergeCell ref="R3:S3"/>
    <mergeCell ref="T3:V3"/>
    <mergeCell ref="A4:C4"/>
    <mergeCell ref="D4:N4"/>
    <mergeCell ref="O4:S4"/>
    <mergeCell ref="T4:V4"/>
  </mergeCells>
  <printOptions horizontalCentered="1" verticalCentered="1"/>
  <pageMargins left="0.43307086614173229" right="0" top="0.23622047244094491" bottom="0" header="0" footer="0"/>
  <pageSetup paperSize="9" scale="9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3"/>
  <sheetViews>
    <sheetView view="pageBreakPreview" topLeftCell="A22" zoomScaleSheetLayoutView="100" workbookViewId="0">
      <selection activeCell="E28" sqref="E28"/>
    </sheetView>
  </sheetViews>
  <sheetFormatPr defaultColWidth="9.16796875" defaultRowHeight="13.5"/>
  <cols>
    <col min="1" max="1" width="6.60546875" style="26" customWidth="1"/>
    <col min="2" max="2" width="8.08984375" style="27" customWidth="1"/>
    <col min="3" max="3" width="47.33203125" style="27" customWidth="1"/>
    <col min="4" max="4" width="8.22265625" style="26" bestFit="1" customWidth="1"/>
    <col min="5" max="5" width="10.11328125" style="26" bestFit="1" customWidth="1"/>
    <col min="6" max="6" width="14.15625" style="28" bestFit="1" customWidth="1"/>
    <col min="7" max="7" width="15.91015625" style="28" bestFit="1" customWidth="1"/>
    <col min="8" max="8" width="9.16796875" style="1"/>
    <col min="9" max="9" width="11.4609375" style="1" bestFit="1" customWidth="1"/>
    <col min="10" max="16384" width="9.16796875" style="1"/>
  </cols>
  <sheetData>
    <row r="1" spans="1:9" s="29" customFormat="1" ht="16.899999999999999" customHeight="1">
      <c r="A1" s="47" t="s">
        <v>51</v>
      </c>
      <c r="B1" s="47"/>
      <c r="C1" s="48" t="str">
        <f>GS!$A$1</f>
        <v>:MISCELLANEOUS FOREIGN AIDED PROJECT</v>
      </c>
      <c r="D1" s="47"/>
      <c r="E1" s="47"/>
      <c r="F1" s="47"/>
      <c r="G1" s="47"/>
    </row>
    <row r="2" spans="1:9" s="29" customFormat="1" ht="16.899999999999999" customHeight="1">
      <c r="A2" s="47" t="s">
        <v>52</v>
      </c>
      <c r="B2" s="47"/>
      <c r="C2" s="48" t="str">
        <f>GS!$A$2</f>
        <v>REHABILITATION OF THE A-017 ROAD CORRIDOR PROJECT (SURIYAKANDA - RAKWANA)</v>
      </c>
      <c r="D2" s="47"/>
      <c r="E2" s="47"/>
      <c r="F2" s="47"/>
      <c r="G2" s="47"/>
    </row>
    <row r="3" spans="1:9" s="29" customFormat="1" ht="16.899999999999999" customHeight="1">
      <c r="A3" s="47" t="s">
        <v>52</v>
      </c>
      <c r="B3" s="47"/>
      <c r="C3" s="48" t="str">
        <f>GS!$A$3</f>
        <v>FUNDED BY OPEC FUND FOR INTERNATIONAL DEVELOPMENT (OFID)</v>
      </c>
      <c r="D3" s="47"/>
      <c r="E3" s="47"/>
      <c r="F3" s="47"/>
      <c r="G3" s="47"/>
    </row>
    <row r="4" spans="1:9" s="29" customFormat="1" ht="16.899999999999999" customHeight="1">
      <c r="A4" s="47"/>
      <c r="B4" s="47"/>
      <c r="C4" s="48" t="str">
        <f>GS!$A$4</f>
        <v>SECTION FROM CH. 112+600 KM TO CH. 118+600 KM</v>
      </c>
      <c r="D4" s="47"/>
      <c r="E4" s="47"/>
      <c r="F4" s="47"/>
      <c r="G4" s="47"/>
    </row>
    <row r="5" spans="1:9" s="29" customFormat="1" ht="5.25" customHeight="1">
      <c r="A5" s="47"/>
      <c r="B5" s="47"/>
      <c r="C5" s="48"/>
      <c r="D5" s="47"/>
      <c r="E5" s="47"/>
      <c r="F5" s="47"/>
      <c r="G5" s="47"/>
    </row>
    <row r="6" spans="1:9" s="29" customFormat="1" ht="16.899999999999999" customHeight="1">
      <c r="A6" s="47" t="s">
        <v>53</v>
      </c>
      <c r="B6" s="47"/>
      <c r="C6" s="48" t="str">
        <f>GS!$A$5</f>
        <v>:RDA/MFAP/ICB/OFID-04(A)</v>
      </c>
      <c r="D6" s="47"/>
      <c r="E6" s="47"/>
      <c r="F6" s="47"/>
      <c r="G6" s="47"/>
    </row>
    <row r="7" spans="1:9" s="29" customFormat="1" ht="15.95" customHeight="1">
      <c r="A7" s="48"/>
      <c r="B7" s="47"/>
      <c r="C7" s="47"/>
      <c r="D7" s="51"/>
      <c r="E7" s="51"/>
      <c r="F7" s="51"/>
      <c r="G7" s="51"/>
    </row>
    <row r="8" spans="1:9" s="29" customFormat="1" ht="8.25" customHeight="1">
      <c r="A8" s="2"/>
      <c r="B8" s="3"/>
      <c r="C8" s="3"/>
      <c r="D8" s="4"/>
      <c r="E8" s="4"/>
      <c r="F8" s="4"/>
      <c r="G8" s="4"/>
    </row>
    <row r="9" spans="1:9" s="29" customFormat="1" ht="21" customHeight="1">
      <c r="A9" s="125" t="s">
        <v>142</v>
      </c>
      <c r="B9" s="88"/>
      <c r="C9" s="88"/>
      <c r="D9" s="35"/>
      <c r="E9" s="35"/>
      <c r="F9" s="35"/>
      <c r="G9" s="35"/>
    </row>
    <row r="10" spans="1:9" s="29" customFormat="1" ht="16.5" customHeight="1">
      <c r="A10" s="678"/>
      <c r="B10" s="678"/>
      <c r="C10" s="678"/>
      <c r="D10" s="679" t="s">
        <v>56</v>
      </c>
      <c r="E10" s="680"/>
      <c r="F10" s="680"/>
      <c r="G10" s="681"/>
    </row>
    <row r="11" spans="1:9" s="29" customFormat="1" ht="16.5" customHeight="1">
      <c r="A11" s="684" t="s">
        <v>138</v>
      </c>
      <c r="B11" s="685"/>
      <c r="C11" s="686" t="s">
        <v>74</v>
      </c>
      <c r="D11" s="687" t="s">
        <v>139</v>
      </c>
      <c r="E11" s="687" t="s">
        <v>140</v>
      </c>
      <c r="F11" s="687" t="s">
        <v>141</v>
      </c>
      <c r="G11" s="687" t="s">
        <v>57</v>
      </c>
    </row>
    <row r="12" spans="1:9" s="29" customFormat="1" ht="23.25" customHeight="1">
      <c r="A12" s="36" t="s">
        <v>0</v>
      </c>
      <c r="B12" s="36" t="s">
        <v>1</v>
      </c>
      <c r="C12" s="686"/>
      <c r="D12" s="686"/>
      <c r="E12" s="686"/>
      <c r="F12" s="686"/>
      <c r="G12" s="686"/>
    </row>
    <row r="13" spans="1:9" ht="15.75" customHeight="1">
      <c r="A13" s="676">
        <v>1.1000000000000001</v>
      </c>
      <c r="B13" s="676"/>
      <c r="C13" s="34" t="s">
        <v>2</v>
      </c>
      <c r="D13" s="41"/>
      <c r="E13" s="41"/>
      <c r="F13" s="41"/>
      <c r="G13" s="42"/>
    </row>
    <row r="14" spans="1:9" s="399" customFormat="1" ht="36">
      <c r="A14" s="401">
        <v>1</v>
      </c>
      <c r="B14" s="402" t="s">
        <v>3</v>
      </c>
      <c r="C14" s="403" t="s">
        <v>58</v>
      </c>
      <c r="D14" s="404" t="s">
        <v>4</v>
      </c>
      <c r="E14" s="405">
        <v>24</v>
      </c>
      <c r="F14" s="405">
        <v>664201.22</v>
      </c>
      <c r="G14" s="405">
        <f>E14*F14</f>
        <v>15940829.279999999</v>
      </c>
      <c r="I14" s="400">
        <f>F14/30</f>
        <v>22140.04</v>
      </c>
    </row>
    <row r="15" spans="1:9">
      <c r="A15" s="677">
        <v>1.2</v>
      </c>
      <c r="B15" s="677"/>
      <c r="C15" s="406" t="s">
        <v>5</v>
      </c>
      <c r="D15" s="407"/>
      <c r="E15" s="408"/>
      <c r="F15" s="407"/>
      <c r="G15" s="409"/>
    </row>
    <row r="16" spans="1:9" s="399" customFormat="1">
      <c r="A16" s="410">
        <v>1</v>
      </c>
      <c r="B16" s="411" t="s">
        <v>6</v>
      </c>
      <c r="C16" s="412" t="s">
        <v>7</v>
      </c>
      <c r="D16" s="413" t="s">
        <v>8</v>
      </c>
      <c r="E16" s="414">
        <v>1</v>
      </c>
      <c r="F16" s="414">
        <v>26568048.989999998</v>
      </c>
      <c r="G16" s="414">
        <f t="shared" ref="G16:G37" si="0">E16*F16</f>
        <v>26568048.989999998</v>
      </c>
    </row>
    <row r="17" spans="1:9" ht="24">
      <c r="A17" s="415">
        <v>2</v>
      </c>
      <c r="B17" s="416" t="s">
        <v>9</v>
      </c>
      <c r="C17" s="417" t="s">
        <v>10</v>
      </c>
      <c r="D17" s="418" t="s">
        <v>8</v>
      </c>
      <c r="E17" s="419">
        <v>1</v>
      </c>
      <c r="F17" s="419">
        <v>885601.63</v>
      </c>
      <c r="G17" s="419">
        <f t="shared" si="0"/>
        <v>885601.63</v>
      </c>
    </row>
    <row r="18" spans="1:9" ht="12.75" customHeight="1">
      <c r="A18" s="690">
        <v>1.3</v>
      </c>
      <c r="B18" s="683"/>
      <c r="C18" s="406" t="s">
        <v>11</v>
      </c>
      <c r="D18" s="407"/>
      <c r="E18" s="408"/>
      <c r="F18" s="407"/>
      <c r="G18" s="409"/>
    </row>
    <row r="19" spans="1:9" s="398" customFormat="1" ht="24">
      <c r="A19" s="410">
        <v>1</v>
      </c>
      <c r="B19" s="411" t="s">
        <v>12</v>
      </c>
      <c r="C19" s="420" t="s">
        <v>13</v>
      </c>
      <c r="D19" s="421" t="s">
        <v>14</v>
      </c>
      <c r="E19" s="422">
        <v>6</v>
      </c>
      <c r="F19" s="422">
        <v>1328402.45</v>
      </c>
      <c r="G19" s="422">
        <f>E19*F19</f>
        <v>7970414.7000000002</v>
      </c>
    </row>
    <row r="20" spans="1:9">
      <c r="A20" s="410">
        <v>2</v>
      </c>
      <c r="B20" s="411" t="s">
        <v>15</v>
      </c>
      <c r="C20" s="420" t="s">
        <v>16</v>
      </c>
      <c r="D20" s="421" t="s">
        <v>17</v>
      </c>
      <c r="E20" s="422">
        <v>600</v>
      </c>
      <c r="F20" s="422">
        <v>17712.03</v>
      </c>
      <c r="G20" s="422">
        <f t="shared" si="0"/>
        <v>10627218</v>
      </c>
    </row>
    <row r="21" spans="1:9">
      <c r="A21" s="690">
        <v>1.4</v>
      </c>
      <c r="B21" s="683"/>
      <c r="C21" s="406" t="s">
        <v>18</v>
      </c>
      <c r="D21" s="407"/>
      <c r="E21" s="408"/>
      <c r="F21" s="407"/>
      <c r="G21" s="409"/>
    </row>
    <row r="22" spans="1:9">
      <c r="A22" s="423">
        <v>1</v>
      </c>
      <c r="B22" s="424" t="s">
        <v>19</v>
      </c>
      <c r="C22" s="412" t="s">
        <v>59</v>
      </c>
      <c r="D22" s="413" t="s">
        <v>17</v>
      </c>
      <c r="E22" s="414">
        <v>2</v>
      </c>
      <c r="F22" s="414">
        <v>265680.49</v>
      </c>
      <c r="G22" s="425">
        <f t="shared" si="0"/>
        <v>531360.98</v>
      </c>
    </row>
    <row r="23" spans="1:9">
      <c r="A23" s="691">
        <v>1.5</v>
      </c>
      <c r="B23" s="692"/>
      <c r="C23" s="406" t="s">
        <v>20</v>
      </c>
      <c r="D23" s="407"/>
      <c r="E23" s="408"/>
      <c r="F23" s="407"/>
      <c r="G23" s="409"/>
    </row>
    <row r="24" spans="1:9" s="398" customFormat="1">
      <c r="A24" s="410">
        <v>1</v>
      </c>
      <c r="B24" s="411" t="s">
        <v>21</v>
      </c>
      <c r="C24" s="420" t="s">
        <v>22</v>
      </c>
      <c r="D24" s="421" t="s">
        <v>8</v>
      </c>
      <c r="E24" s="422">
        <v>1</v>
      </c>
      <c r="F24" s="422">
        <v>6199211.4299999997</v>
      </c>
      <c r="G24" s="422">
        <f t="shared" si="0"/>
        <v>6199211.4299999997</v>
      </c>
    </row>
    <row r="25" spans="1:9" s="398" customFormat="1">
      <c r="A25" s="426">
        <v>2</v>
      </c>
      <c r="B25" s="424" t="s">
        <v>23</v>
      </c>
      <c r="C25" s="427" t="s">
        <v>24</v>
      </c>
      <c r="D25" s="428" t="s">
        <v>8</v>
      </c>
      <c r="E25" s="429">
        <v>1</v>
      </c>
      <c r="F25" s="429">
        <v>1771203.27</v>
      </c>
      <c r="G25" s="429">
        <f t="shared" si="0"/>
        <v>1771203.27</v>
      </c>
    </row>
    <row r="26" spans="1:9" s="398" customFormat="1">
      <c r="A26" s="426">
        <v>3</v>
      </c>
      <c r="B26" s="424" t="s">
        <v>25</v>
      </c>
      <c r="C26" s="427" t="s">
        <v>26</v>
      </c>
      <c r="D26" s="428" t="s">
        <v>8</v>
      </c>
      <c r="E26" s="429">
        <v>1</v>
      </c>
      <c r="F26" s="429">
        <v>885601.63</v>
      </c>
      <c r="G26" s="429">
        <f t="shared" si="0"/>
        <v>885601.63</v>
      </c>
    </row>
    <row r="27" spans="1:9" s="398" customFormat="1">
      <c r="A27" s="426">
        <v>4</v>
      </c>
      <c r="B27" s="424" t="s">
        <v>27</v>
      </c>
      <c r="C27" s="427" t="s">
        <v>28</v>
      </c>
      <c r="D27" s="428" t="s">
        <v>8</v>
      </c>
      <c r="E27" s="429">
        <v>1</v>
      </c>
      <c r="F27" s="429">
        <v>885601.63</v>
      </c>
      <c r="G27" s="429">
        <f t="shared" si="0"/>
        <v>885601.63</v>
      </c>
    </row>
    <row r="28" spans="1:9" s="398" customFormat="1">
      <c r="A28" s="426">
        <v>5</v>
      </c>
      <c r="B28" s="424" t="s">
        <v>29</v>
      </c>
      <c r="C28" s="427" t="s">
        <v>30</v>
      </c>
      <c r="D28" s="428" t="s">
        <v>8</v>
      </c>
      <c r="E28" s="429">
        <v>1</v>
      </c>
      <c r="F28" s="429">
        <v>2656804.9</v>
      </c>
      <c r="G28" s="429">
        <f t="shared" si="0"/>
        <v>2656804.9</v>
      </c>
    </row>
    <row r="29" spans="1:9" s="398" customFormat="1">
      <c r="A29" s="415">
        <v>6</v>
      </c>
      <c r="B29" s="416" t="s">
        <v>31</v>
      </c>
      <c r="C29" s="430" t="s">
        <v>32</v>
      </c>
      <c r="D29" s="431" t="s">
        <v>8</v>
      </c>
      <c r="E29" s="432">
        <v>1</v>
      </c>
      <c r="F29" s="432">
        <v>7084813.0599999996</v>
      </c>
      <c r="G29" s="419">
        <f t="shared" si="0"/>
        <v>7084813.0599999996</v>
      </c>
    </row>
    <row r="30" spans="1:9">
      <c r="A30" s="682" t="s">
        <v>33</v>
      </c>
      <c r="B30" s="683"/>
      <c r="C30" s="406" t="s">
        <v>34</v>
      </c>
      <c r="D30" s="407"/>
      <c r="E30" s="408"/>
      <c r="F30" s="407"/>
      <c r="G30" s="409"/>
    </row>
    <row r="31" spans="1:9" s="398" customFormat="1">
      <c r="A31" s="433">
        <v>1</v>
      </c>
      <c r="B31" s="402" t="s">
        <v>35</v>
      </c>
      <c r="C31" s="434" t="s">
        <v>36</v>
      </c>
      <c r="D31" s="435" t="s">
        <v>37</v>
      </c>
      <c r="E31" s="409">
        <v>27</v>
      </c>
      <c r="F31" s="409">
        <v>442800.82</v>
      </c>
      <c r="G31" s="425">
        <f t="shared" si="0"/>
        <v>11955622.140000001</v>
      </c>
      <c r="I31" s="503">
        <f>F31/30</f>
        <v>14760.03</v>
      </c>
    </row>
    <row r="32" spans="1:9">
      <c r="A32" s="682" t="s">
        <v>38</v>
      </c>
      <c r="B32" s="683"/>
      <c r="C32" s="406" t="s">
        <v>39</v>
      </c>
      <c r="D32" s="407"/>
      <c r="E32" s="408"/>
      <c r="F32" s="407"/>
      <c r="G32" s="409"/>
    </row>
    <row r="33" spans="1:9" s="398" customFormat="1">
      <c r="A33" s="436">
        <v>1</v>
      </c>
      <c r="B33" s="424" t="s">
        <v>40</v>
      </c>
      <c r="C33" s="427" t="s">
        <v>41</v>
      </c>
      <c r="D33" s="428" t="s">
        <v>42</v>
      </c>
      <c r="E33" s="429">
        <v>624</v>
      </c>
      <c r="F33" s="429">
        <v>22140.04</v>
      </c>
      <c r="G33" s="425">
        <f t="shared" si="0"/>
        <v>13815384.960000001</v>
      </c>
      <c r="I33" s="504">
        <f>(26.57/31)*F33</f>
        <v>18976.16</v>
      </c>
    </row>
    <row r="34" spans="1:9">
      <c r="A34" s="688" t="s">
        <v>43</v>
      </c>
      <c r="B34" s="689"/>
      <c r="C34" s="34" t="s">
        <v>44</v>
      </c>
      <c r="D34" s="41"/>
      <c r="E34" s="41"/>
      <c r="F34" s="41"/>
      <c r="G34" s="5"/>
      <c r="I34" s="268"/>
    </row>
    <row r="35" spans="1:9" ht="24">
      <c r="A35" s="19">
        <v>1</v>
      </c>
      <c r="B35" s="7" t="s">
        <v>45</v>
      </c>
      <c r="C35" s="38" t="s">
        <v>46</v>
      </c>
      <c r="D35" s="8" t="s">
        <v>8</v>
      </c>
      <c r="E35" s="9">
        <v>1</v>
      </c>
      <c r="F35" s="9">
        <v>22140040.829999998</v>
      </c>
      <c r="G35" s="9">
        <f t="shared" si="0"/>
        <v>22140040.829999998</v>
      </c>
      <c r="I35" s="505">
        <f>SUM(I14:I33)</f>
        <v>55876.23</v>
      </c>
    </row>
    <row r="36" spans="1:9">
      <c r="A36" s="20">
        <v>2</v>
      </c>
      <c r="B36" s="11" t="s">
        <v>47</v>
      </c>
      <c r="C36" s="39" t="s">
        <v>48</v>
      </c>
      <c r="D36" s="12" t="s">
        <v>4</v>
      </c>
      <c r="E36" s="13">
        <v>27</v>
      </c>
      <c r="F36" s="13">
        <v>265680.49</v>
      </c>
      <c r="G36" s="13">
        <f t="shared" si="0"/>
        <v>7173373.2300000004</v>
      </c>
    </row>
    <row r="37" spans="1:9" ht="24">
      <c r="A37" s="22">
        <v>3</v>
      </c>
      <c r="B37" s="15" t="s">
        <v>49</v>
      </c>
      <c r="C37" s="40" t="s">
        <v>50</v>
      </c>
      <c r="D37" s="17" t="s">
        <v>8</v>
      </c>
      <c r="E37" s="18">
        <v>1</v>
      </c>
      <c r="F37" s="18">
        <v>4428010.2699999996</v>
      </c>
      <c r="G37" s="18">
        <f t="shared" si="0"/>
        <v>4428010.2699999996</v>
      </c>
    </row>
    <row r="38" spans="1:9" ht="16.5" customHeight="1">
      <c r="A38" s="32" t="s">
        <v>60</v>
      </c>
      <c r="B38" s="33"/>
      <c r="C38" s="33"/>
      <c r="D38" s="33"/>
      <c r="E38" s="33"/>
      <c r="F38" s="33"/>
      <c r="G38" s="115">
        <f>SUM(G14:G37)</f>
        <v>141519140.93000001</v>
      </c>
    </row>
    <row r="39" spans="1:9" ht="13.5" customHeight="1">
      <c r="A39" s="24"/>
      <c r="B39" s="1"/>
      <c r="C39" s="1"/>
      <c r="D39" s="24"/>
      <c r="E39" s="24"/>
      <c r="F39" s="25"/>
      <c r="G39" s="25"/>
    </row>
    <row r="40" spans="1:9">
      <c r="A40" s="116"/>
      <c r="B40" s="117"/>
      <c r="C40" s="118"/>
      <c r="D40" s="119"/>
      <c r="E40" s="119"/>
      <c r="F40" s="119"/>
      <c r="G40" s="120"/>
    </row>
    <row r="41" spans="1:9" ht="23.25" customHeight="1">
      <c r="A41" s="121"/>
      <c r="B41" s="122"/>
      <c r="C41" s="122"/>
      <c r="D41" s="123"/>
      <c r="E41" s="123"/>
      <c r="F41" s="123"/>
      <c r="G41" s="121"/>
    </row>
    <row r="42" spans="1:9">
      <c r="A42" s="124"/>
      <c r="B42" s="117"/>
      <c r="C42" s="118"/>
      <c r="D42" s="119"/>
      <c r="E42" s="119"/>
      <c r="F42" s="119"/>
      <c r="G42" s="120"/>
    </row>
    <row r="43" spans="1:9">
      <c r="A43" s="116"/>
      <c r="B43" s="117"/>
      <c r="C43" s="118"/>
      <c r="D43" s="119"/>
      <c r="E43" s="119"/>
      <c r="F43" s="119"/>
      <c r="G43" s="120"/>
    </row>
  </sheetData>
  <mergeCells count="16">
    <mergeCell ref="A32:B32"/>
    <mergeCell ref="A34:B34"/>
    <mergeCell ref="A18:B18"/>
    <mergeCell ref="A21:B21"/>
    <mergeCell ref="A23:B23"/>
    <mergeCell ref="A13:B13"/>
    <mergeCell ref="A15:B15"/>
    <mergeCell ref="A10:C10"/>
    <mergeCell ref="D10:G10"/>
    <mergeCell ref="A30:B30"/>
    <mergeCell ref="A11:B11"/>
    <mergeCell ref="C11:C12"/>
    <mergeCell ref="D11:D12"/>
    <mergeCell ref="E11:E12"/>
    <mergeCell ref="F11:F12"/>
    <mergeCell ref="G11:G12"/>
  </mergeCells>
  <pageMargins left="0.7" right="0.7" top="0.75" bottom="0.75" header="0.3" footer="0.3"/>
  <pageSetup paperSize="9" scale="80" firstPageNumber="17" fitToHeight="0" orientation="portrait" r:id="rId1"/>
  <headerFooter scaleWithDoc="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3"/>
  <sheetViews>
    <sheetView view="pageBreakPreview" topLeftCell="A13" zoomScale="90" zoomScaleNormal="85" zoomScaleSheetLayoutView="90" zoomScalePageLayoutView="62" workbookViewId="0">
      <selection activeCell="E22" sqref="E22"/>
    </sheetView>
  </sheetViews>
  <sheetFormatPr defaultColWidth="9.16796875" defaultRowHeight="13.5"/>
  <cols>
    <col min="1" max="1" width="5.66015625" style="82" customWidth="1"/>
    <col min="2" max="2" width="10.24609375" style="83" customWidth="1"/>
    <col min="3" max="3" width="45.71484375" style="83" customWidth="1"/>
    <col min="4" max="4" width="6.7421875" style="82" customWidth="1"/>
    <col min="5" max="5" width="10.65234375" style="84" customWidth="1"/>
    <col min="6" max="6" width="12.67578125" style="85" customWidth="1"/>
    <col min="7" max="7" width="15.23828125" style="85" bestFit="1" customWidth="1"/>
    <col min="8" max="16384" width="9.16796875" style="76"/>
  </cols>
  <sheetData>
    <row r="1" spans="1:7" s="29" customFormat="1" ht="16.899999999999999" customHeight="1">
      <c r="A1" s="47" t="s">
        <v>51</v>
      </c>
      <c r="B1" s="47"/>
      <c r="C1" s="48" t="str">
        <f>'Bill 1'!C1</f>
        <v>:MISCELLANEOUS FOREIGN AIDED PROJECT</v>
      </c>
      <c r="D1" s="47"/>
      <c r="E1" s="47"/>
      <c r="F1" s="47"/>
      <c r="G1" s="47"/>
    </row>
    <row r="2" spans="1:7" s="29" customFormat="1" ht="16.899999999999999" customHeight="1">
      <c r="A2" s="47" t="s">
        <v>52</v>
      </c>
      <c r="B2" s="47"/>
      <c r="C2" s="48" t="str">
        <f>'Bill 1'!C2</f>
        <v>REHABILITATION OF THE A-017 ROAD CORRIDOR PROJECT (SURIYAKANDA - RAKWANA)</v>
      </c>
      <c r="D2" s="47"/>
      <c r="E2" s="47"/>
      <c r="F2" s="47"/>
      <c r="G2" s="47"/>
    </row>
    <row r="3" spans="1:7" s="29" customFormat="1" ht="16.899999999999999" customHeight="1">
      <c r="A3" s="47" t="s">
        <v>52</v>
      </c>
      <c r="B3" s="47"/>
      <c r="C3" s="48" t="str">
        <f>'Bill 1'!C3</f>
        <v>FUNDED BY OPEC FUND FOR INTERNATIONAL DEVELOPMENT (OFID)</v>
      </c>
      <c r="D3" s="47"/>
      <c r="E3" s="47"/>
      <c r="F3" s="47"/>
      <c r="G3" s="47"/>
    </row>
    <row r="4" spans="1:7" s="29" customFormat="1" ht="16.899999999999999" customHeight="1">
      <c r="A4" s="47"/>
      <c r="B4" s="47"/>
      <c r="C4" s="48" t="str">
        <f>'Bill 1'!C4</f>
        <v>SECTION FROM CH. 112+600 KM TO CH. 118+600 KM</v>
      </c>
      <c r="D4" s="47"/>
      <c r="E4" s="47"/>
      <c r="F4" s="47"/>
      <c r="G4" s="47"/>
    </row>
    <row r="5" spans="1:7" s="29" customFormat="1" ht="5.25" customHeight="1">
      <c r="A5" s="47"/>
      <c r="B5" s="47"/>
      <c r="C5" s="48"/>
      <c r="D5" s="47"/>
      <c r="E5" s="47"/>
      <c r="F5" s="47"/>
      <c r="G5" s="47"/>
    </row>
    <row r="6" spans="1:7" s="29" customFormat="1" ht="16.899999999999999" customHeight="1">
      <c r="A6" s="47" t="s">
        <v>53</v>
      </c>
      <c r="B6" s="47"/>
      <c r="C6" s="48" t="str">
        <f>'Bill 1'!C6</f>
        <v>:RDA/MFAP/ICB/OFID-04(A)</v>
      </c>
      <c r="D6" s="47"/>
      <c r="E6" s="47"/>
      <c r="F6" s="47"/>
      <c r="G6" s="47"/>
    </row>
    <row r="7" spans="1:7" s="29" customFormat="1" ht="15.95" customHeight="1">
      <c r="A7" s="48"/>
      <c r="B7" s="47"/>
      <c r="C7" s="47"/>
      <c r="D7" s="51"/>
      <c r="E7" s="51"/>
      <c r="F7" s="51"/>
      <c r="G7" s="51"/>
    </row>
    <row r="8" spans="1:7" s="29" customFormat="1" ht="8.25" customHeight="1">
      <c r="A8" s="2"/>
      <c r="B8" s="3"/>
      <c r="C8" s="3"/>
      <c r="D8" s="4"/>
      <c r="E8" s="4"/>
      <c r="F8" s="4"/>
      <c r="G8" s="4"/>
    </row>
    <row r="9" spans="1:7" s="29" customFormat="1" ht="21" customHeight="1">
      <c r="A9" s="125" t="s">
        <v>143</v>
      </c>
      <c r="B9" s="88"/>
      <c r="C9" s="88"/>
      <c r="D9" s="35"/>
      <c r="E9" s="35"/>
      <c r="F9" s="35"/>
      <c r="G9" s="35"/>
    </row>
    <row r="10" spans="1:7" s="29" customFormat="1" ht="16.5" customHeight="1">
      <c r="A10" s="695"/>
      <c r="B10" s="695"/>
      <c r="C10" s="695"/>
      <c r="D10" s="696" t="s">
        <v>56</v>
      </c>
      <c r="E10" s="697"/>
      <c r="F10" s="697"/>
      <c r="G10" s="698"/>
    </row>
    <row r="11" spans="1:7" s="29" customFormat="1" ht="19.5" customHeight="1">
      <c r="A11" s="699" t="s">
        <v>138</v>
      </c>
      <c r="B11" s="699"/>
      <c r="C11" s="699" t="s">
        <v>74</v>
      </c>
      <c r="D11" s="699" t="s">
        <v>139</v>
      </c>
      <c r="E11" s="699" t="s">
        <v>140</v>
      </c>
      <c r="F11" s="699" t="s">
        <v>141</v>
      </c>
      <c r="G11" s="699" t="s">
        <v>57</v>
      </c>
    </row>
    <row r="12" spans="1:7" s="29" customFormat="1" ht="19.5" customHeight="1">
      <c r="A12" s="87" t="s">
        <v>0</v>
      </c>
      <c r="B12" s="87" t="s">
        <v>1</v>
      </c>
      <c r="C12" s="699"/>
      <c r="D12" s="699"/>
      <c r="E12" s="699"/>
      <c r="F12" s="699"/>
      <c r="G12" s="699"/>
    </row>
    <row r="13" spans="1:7" s="79" customFormat="1" ht="22.5" customHeight="1">
      <c r="A13" s="694">
        <v>2.1</v>
      </c>
      <c r="B13" s="694"/>
      <c r="C13" s="93" t="s">
        <v>106</v>
      </c>
      <c r="D13" s="32"/>
      <c r="E13" s="32"/>
      <c r="F13" s="32"/>
      <c r="G13" s="94"/>
    </row>
    <row r="14" spans="1:7" s="79" customFormat="1" ht="21.75" customHeight="1">
      <c r="A14" s="95">
        <v>1</v>
      </c>
      <c r="B14" s="95" t="s">
        <v>107</v>
      </c>
      <c r="C14" s="96" t="s">
        <v>108</v>
      </c>
      <c r="D14" s="95" t="s">
        <v>109</v>
      </c>
      <c r="E14" s="97">
        <v>26400</v>
      </c>
      <c r="F14" s="97">
        <v>265.68</v>
      </c>
      <c r="G14" s="97">
        <f>E14*F14</f>
        <v>7013952</v>
      </c>
    </row>
    <row r="15" spans="1:7" s="79" customFormat="1" ht="27" customHeight="1">
      <c r="A15" s="98">
        <v>2</v>
      </c>
      <c r="B15" s="10" t="s">
        <v>110</v>
      </c>
      <c r="C15" s="99" t="s">
        <v>111</v>
      </c>
      <c r="D15" s="100" t="s">
        <v>112</v>
      </c>
      <c r="E15" s="101">
        <v>1080</v>
      </c>
      <c r="F15" s="13">
        <v>22140.04</v>
      </c>
      <c r="G15" s="101">
        <f t="shared" ref="G15:G27" si="0">E15*F15</f>
        <v>23911243.199999999</v>
      </c>
    </row>
    <row r="16" spans="1:7" s="79" customFormat="1" ht="27.75" customHeight="1">
      <c r="A16" s="98">
        <v>3</v>
      </c>
      <c r="B16" s="10" t="s">
        <v>113</v>
      </c>
      <c r="C16" s="102" t="s">
        <v>114</v>
      </c>
      <c r="D16" s="100" t="s">
        <v>112</v>
      </c>
      <c r="E16" s="101">
        <v>720</v>
      </c>
      <c r="F16" s="13">
        <v>30996.07</v>
      </c>
      <c r="G16" s="101">
        <f t="shared" si="0"/>
        <v>22317170.399999999</v>
      </c>
    </row>
    <row r="17" spans="1:7" s="79" customFormat="1" ht="28.5" customHeight="1">
      <c r="A17" s="98">
        <v>4</v>
      </c>
      <c r="B17" s="10" t="s">
        <v>115</v>
      </c>
      <c r="C17" s="102" t="s">
        <v>116</v>
      </c>
      <c r="D17" s="100" t="s">
        <v>112</v>
      </c>
      <c r="E17" s="101">
        <v>480</v>
      </c>
      <c r="F17" s="13">
        <v>39852.080000000002</v>
      </c>
      <c r="G17" s="101">
        <f t="shared" si="0"/>
        <v>19128998.399999999</v>
      </c>
    </row>
    <row r="18" spans="1:7" s="79" customFormat="1" ht="28.5" customHeight="1">
      <c r="A18" s="98">
        <v>5</v>
      </c>
      <c r="B18" s="10" t="s">
        <v>117</v>
      </c>
      <c r="C18" s="102" t="s">
        <v>118</v>
      </c>
      <c r="D18" s="100" t="s">
        <v>112</v>
      </c>
      <c r="E18" s="101">
        <v>60</v>
      </c>
      <c r="F18" s="13">
        <v>13284.02</v>
      </c>
      <c r="G18" s="101">
        <f t="shared" si="0"/>
        <v>797041.2</v>
      </c>
    </row>
    <row r="19" spans="1:7" s="79" customFormat="1" ht="28.5" customHeight="1">
      <c r="A19" s="98">
        <v>6</v>
      </c>
      <c r="B19" s="10" t="s">
        <v>119</v>
      </c>
      <c r="C19" s="102" t="s">
        <v>120</v>
      </c>
      <c r="D19" s="100" t="s">
        <v>112</v>
      </c>
      <c r="E19" s="101">
        <v>54</v>
      </c>
      <c r="F19" s="13">
        <v>17712.03</v>
      </c>
      <c r="G19" s="101">
        <f t="shared" si="0"/>
        <v>956449.62</v>
      </c>
    </row>
    <row r="20" spans="1:7" s="79" customFormat="1" ht="28.5" customHeight="1">
      <c r="A20" s="98">
        <v>7</v>
      </c>
      <c r="B20" s="10" t="s">
        <v>121</v>
      </c>
      <c r="C20" s="102" t="s">
        <v>122</v>
      </c>
      <c r="D20" s="100" t="s">
        <v>112</v>
      </c>
      <c r="E20" s="101">
        <v>48</v>
      </c>
      <c r="F20" s="13">
        <v>22140.05</v>
      </c>
      <c r="G20" s="101">
        <f t="shared" si="0"/>
        <v>1062722.3999999999</v>
      </c>
    </row>
    <row r="21" spans="1:7" s="79" customFormat="1" ht="28.5" customHeight="1">
      <c r="A21" s="98">
        <v>8</v>
      </c>
      <c r="B21" s="10" t="s">
        <v>123</v>
      </c>
      <c r="C21" s="102" t="s">
        <v>124</v>
      </c>
      <c r="D21" s="100" t="s">
        <v>112</v>
      </c>
      <c r="E21" s="101">
        <v>48</v>
      </c>
      <c r="F21" s="13">
        <v>30996.07</v>
      </c>
      <c r="G21" s="101">
        <f t="shared" si="0"/>
        <v>1487811.36</v>
      </c>
    </row>
    <row r="22" spans="1:7" s="79" customFormat="1" ht="28.5" customHeight="1">
      <c r="A22" s="103">
        <v>9</v>
      </c>
      <c r="B22" s="14" t="s">
        <v>125</v>
      </c>
      <c r="C22" s="104" t="s">
        <v>126</v>
      </c>
      <c r="D22" s="105" t="s">
        <v>112</v>
      </c>
      <c r="E22" s="106">
        <v>90</v>
      </c>
      <c r="F22" s="18">
        <v>7084.81</v>
      </c>
      <c r="G22" s="106">
        <f t="shared" si="0"/>
        <v>637632.9</v>
      </c>
    </row>
    <row r="23" spans="1:7" s="79" customFormat="1" ht="20.25" customHeight="1">
      <c r="A23" s="693">
        <v>2.2000000000000002</v>
      </c>
      <c r="B23" s="693"/>
      <c r="C23" s="107" t="s">
        <v>127</v>
      </c>
      <c r="D23" s="108"/>
      <c r="E23" s="109"/>
      <c r="F23" s="109"/>
      <c r="G23" s="86">
        <f t="shared" si="0"/>
        <v>0</v>
      </c>
    </row>
    <row r="24" spans="1:7" s="79" customFormat="1" ht="20.25" customHeight="1">
      <c r="A24" s="111">
        <v>1</v>
      </c>
      <c r="B24" s="111" t="s">
        <v>128</v>
      </c>
      <c r="C24" s="112" t="s">
        <v>129</v>
      </c>
      <c r="D24" s="111" t="s">
        <v>130</v>
      </c>
      <c r="E24" s="97">
        <v>180</v>
      </c>
      <c r="F24" s="9">
        <v>3099.61</v>
      </c>
      <c r="G24" s="97">
        <f t="shared" si="0"/>
        <v>557929.80000000005</v>
      </c>
    </row>
    <row r="25" spans="1:7" s="79" customFormat="1" ht="20.25" customHeight="1">
      <c r="A25" s="113">
        <v>2</v>
      </c>
      <c r="B25" s="113" t="s">
        <v>131</v>
      </c>
      <c r="C25" s="102" t="s">
        <v>132</v>
      </c>
      <c r="D25" s="113" t="s">
        <v>130</v>
      </c>
      <c r="E25" s="101">
        <v>150</v>
      </c>
      <c r="F25" s="13">
        <v>3985.21</v>
      </c>
      <c r="G25" s="101">
        <f t="shared" si="0"/>
        <v>597781.5</v>
      </c>
    </row>
    <row r="26" spans="1:7" s="79" customFormat="1" ht="20.25" customHeight="1">
      <c r="A26" s="113">
        <v>3</v>
      </c>
      <c r="B26" s="113" t="s">
        <v>133</v>
      </c>
      <c r="C26" s="102" t="s">
        <v>134</v>
      </c>
      <c r="D26" s="113" t="s">
        <v>130</v>
      </c>
      <c r="E26" s="101">
        <v>90</v>
      </c>
      <c r="F26" s="13">
        <v>4428.01</v>
      </c>
      <c r="G26" s="101">
        <f t="shared" si="0"/>
        <v>398520.9</v>
      </c>
    </row>
    <row r="27" spans="1:7" s="79" customFormat="1" ht="20.25" customHeight="1">
      <c r="A27" s="114">
        <v>4</v>
      </c>
      <c r="B27" s="114" t="s">
        <v>135</v>
      </c>
      <c r="C27" s="104" t="s">
        <v>136</v>
      </c>
      <c r="D27" s="114" t="s">
        <v>137</v>
      </c>
      <c r="E27" s="106">
        <v>150</v>
      </c>
      <c r="F27" s="18">
        <v>885.6</v>
      </c>
      <c r="G27" s="106">
        <f t="shared" si="0"/>
        <v>132840</v>
      </c>
    </row>
    <row r="28" spans="1:7" s="81" customFormat="1" ht="22.5" customHeight="1">
      <c r="A28" s="89" t="s">
        <v>144</v>
      </c>
      <c r="B28" s="90"/>
      <c r="C28" s="90"/>
      <c r="D28" s="90"/>
      <c r="E28" s="90"/>
      <c r="F28" s="91"/>
      <c r="G28" s="110">
        <f>SUM(G13:G27)</f>
        <v>79000093.680000007</v>
      </c>
    </row>
    <row r="30" spans="1:7" s="1" customFormat="1">
      <c r="A30" s="116"/>
      <c r="B30" s="117"/>
      <c r="C30" s="118"/>
      <c r="D30" s="119"/>
      <c r="E30" s="119"/>
      <c r="F30" s="119"/>
      <c r="G30" s="120"/>
    </row>
    <row r="31" spans="1:7" s="1" customFormat="1" ht="23.25" customHeight="1">
      <c r="A31" s="121"/>
      <c r="B31" s="122"/>
      <c r="C31" s="122"/>
      <c r="D31" s="123"/>
      <c r="E31" s="123"/>
      <c r="F31" s="123"/>
      <c r="G31" s="121"/>
    </row>
    <row r="32" spans="1:7" s="1" customFormat="1">
      <c r="A32" s="124"/>
      <c r="B32" s="117"/>
      <c r="C32" s="118"/>
      <c r="D32" s="119"/>
      <c r="E32" s="119"/>
      <c r="F32" s="119"/>
      <c r="G32" s="120"/>
    </row>
    <row r="33" spans="1:7" s="1" customFormat="1">
      <c r="A33" s="116"/>
      <c r="B33" s="117"/>
      <c r="C33" s="118"/>
      <c r="D33" s="119"/>
      <c r="E33" s="119"/>
      <c r="F33" s="119"/>
      <c r="G33" s="120"/>
    </row>
  </sheetData>
  <mergeCells count="10">
    <mergeCell ref="A23:B23"/>
    <mergeCell ref="A13:B13"/>
    <mergeCell ref="A10:C10"/>
    <mergeCell ref="D10:G10"/>
    <mergeCell ref="A11:B11"/>
    <mergeCell ref="C11:C12"/>
    <mergeCell ref="D11:D12"/>
    <mergeCell ref="E11:E12"/>
    <mergeCell ref="F11:F12"/>
    <mergeCell ref="G11:G12"/>
  </mergeCells>
  <pageMargins left="0.95" right="0.2" top="0.36" bottom="0.23" header="0.31496062992126" footer="0.196850393700787"/>
  <pageSetup paperSize="9" scale="80" firstPageNumber="17" fitToHeight="0" orientation="portrait" r:id="rId1"/>
  <headerFooter scaleWithDoc="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8"/>
  <sheetViews>
    <sheetView view="pageBreakPreview" topLeftCell="A10" zoomScale="80" zoomScaleNormal="90" zoomScaleSheetLayoutView="80" workbookViewId="0">
      <selection activeCell="C30" sqref="C30"/>
    </sheetView>
  </sheetViews>
  <sheetFormatPr defaultColWidth="9.16796875" defaultRowHeight="13.5"/>
  <cols>
    <col min="1" max="1" width="5.66015625" style="82" customWidth="1"/>
    <col min="2" max="2" width="11.73046875" style="83" customWidth="1"/>
    <col min="3" max="3" width="42.74609375" style="83" customWidth="1"/>
    <col min="4" max="4" width="7.953125" style="82" customWidth="1"/>
    <col min="5" max="5" width="12.26953125" style="84" customWidth="1"/>
    <col min="6" max="6" width="16.046875" style="85" customWidth="1"/>
    <col min="7" max="7" width="20.90234375" style="85" customWidth="1"/>
    <col min="8" max="16384" width="9.16796875" style="76"/>
  </cols>
  <sheetData>
    <row r="1" spans="1:7" s="29" customFormat="1" ht="16.899999999999999" customHeight="1">
      <c r="A1" s="47" t="s">
        <v>51</v>
      </c>
      <c r="B1" s="47"/>
      <c r="C1" s="48" t="str">
        <f>'Bill 1'!C1</f>
        <v>:MISCELLANEOUS FOREIGN AIDED PROJECT</v>
      </c>
      <c r="D1" s="47"/>
      <c r="E1" s="47"/>
      <c r="F1" s="47"/>
      <c r="G1" s="47"/>
    </row>
    <row r="2" spans="1:7" s="29" customFormat="1" ht="16.899999999999999" customHeight="1">
      <c r="A2" s="47" t="s">
        <v>52</v>
      </c>
      <c r="B2" s="47"/>
      <c r="C2" s="48" t="str">
        <f>'Bill 1'!C2</f>
        <v>REHABILITATION OF THE A-017 ROAD CORRIDOR PROJECT (SURIYAKANDA - RAKWANA)</v>
      </c>
      <c r="D2" s="47"/>
      <c r="E2" s="47"/>
      <c r="F2" s="47"/>
      <c r="G2" s="47"/>
    </row>
    <row r="3" spans="1:7" s="29" customFormat="1" ht="16.899999999999999" customHeight="1">
      <c r="A3" s="47" t="s">
        <v>52</v>
      </c>
      <c r="B3" s="47"/>
      <c r="C3" s="48" t="str">
        <f>'Bill 1'!C3</f>
        <v>FUNDED BY OPEC FUND FOR INTERNATIONAL DEVELOPMENT (OFID)</v>
      </c>
      <c r="D3" s="47"/>
      <c r="E3" s="47"/>
      <c r="F3" s="47"/>
      <c r="G3" s="47"/>
    </row>
    <row r="4" spans="1:7" s="29" customFormat="1" ht="16.899999999999999" customHeight="1">
      <c r="A4" s="47"/>
      <c r="B4" s="47"/>
      <c r="C4" s="48" t="str">
        <f>'Bill 1'!C4</f>
        <v>SECTION FROM CH. 112+600 KM TO CH. 118+600 KM</v>
      </c>
      <c r="D4" s="47"/>
      <c r="E4" s="47"/>
      <c r="F4" s="47"/>
      <c r="G4" s="47"/>
    </row>
    <row r="5" spans="1:7" s="29" customFormat="1" ht="5.25" customHeight="1">
      <c r="A5" s="47"/>
      <c r="B5" s="47"/>
      <c r="C5" s="48"/>
      <c r="D5" s="47"/>
      <c r="E5" s="47"/>
      <c r="F5" s="47"/>
      <c r="G5" s="47"/>
    </row>
    <row r="6" spans="1:7" s="29" customFormat="1" ht="16.899999999999999" customHeight="1">
      <c r="A6" s="47" t="s">
        <v>53</v>
      </c>
      <c r="B6" s="47"/>
      <c r="C6" s="48" t="str">
        <f>'Bill 1'!C6</f>
        <v>:RDA/MFAP/ICB/OFID-04(A)</v>
      </c>
      <c r="D6" s="47"/>
      <c r="E6" s="47"/>
      <c r="F6" s="47"/>
      <c r="G6" s="47"/>
    </row>
    <row r="7" spans="1:7" s="29" customFormat="1" ht="15.95" customHeight="1">
      <c r="A7" s="48"/>
      <c r="B7" s="47"/>
      <c r="C7" s="47"/>
      <c r="D7" s="51"/>
      <c r="E7" s="51"/>
      <c r="F7" s="51"/>
      <c r="G7" s="51"/>
    </row>
    <row r="8" spans="1:7" s="29" customFormat="1" ht="8.25" customHeight="1">
      <c r="A8" s="2"/>
      <c r="B8" s="3"/>
      <c r="C8" s="3"/>
      <c r="D8" s="4"/>
      <c r="E8" s="4"/>
      <c r="F8" s="4"/>
      <c r="G8" s="4"/>
    </row>
    <row r="9" spans="1:7" s="29" customFormat="1" ht="21" customHeight="1">
      <c r="A9" s="125" t="s">
        <v>145</v>
      </c>
      <c r="B9" s="88"/>
      <c r="C9" s="88"/>
      <c r="D9" s="35"/>
      <c r="E9" s="35"/>
      <c r="F9" s="35"/>
      <c r="G9" s="35"/>
    </row>
    <row r="10" spans="1:7" s="29" customFormat="1" ht="16.5" customHeight="1">
      <c r="A10" s="695"/>
      <c r="B10" s="695"/>
      <c r="C10" s="695"/>
      <c r="D10" s="696" t="s">
        <v>56</v>
      </c>
      <c r="E10" s="697"/>
      <c r="F10" s="697"/>
      <c r="G10" s="698"/>
    </row>
    <row r="11" spans="1:7" s="29" customFormat="1" ht="16.5" customHeight="1">
      <c r="A11" s="699" t="s">
        <v>138</v>
      </c>
      <c r="B11" s="699"/>
      <c r="C11" s="699" t="s">
        <v>74</v>
      </c>
      <c r="D11" s="699" t="s">
        <v>139</v>
      </c>
      <c r="E11" s="699" t="s">
        <v>140</v>
      </c>
      <c r="F11" s="699" t="s">
        <v>141</v>
      </c>
      <c r="G11" s="699" t="s">
        <v>57</v>
      </c>
    </row>
    <row r="12" spans="1:7" s="29" customFormat="1" ht="16.5" customHeight="1">
      <c r="A12" s="87" t="s">
        <v>0</v>
      </c>
      <c r="B12" s="87" t="s">
        <v>1</v>
      </c>
      <c r="C12" s="699"/>
      <c r="D12" s="699"/>
      <c r="E12" s="699"/>
      <c r="F12" s="699"/>
      <c r="G12" s="699"/>
    </row>
    <row r="13" spans="1:7">
      <c r="A13" s="704">
        <v>3.1</v>
      </c>
      <c r="B13" s="705"/>
      <c r="C13" s="89" t="s">
        <v>146</v>
      </c>
      <c r="D13" s="90"/>
      <c r="E13" s="90"/>
      <c r="F13" s="91"/>
      <c r="G13" s="78"/>
    </row>
    <row r="14" spans="1:7">
      <c r="A14" s="95">
        <v>1</v>
      </c>
      <c r="B14" s="96" t="s">
        <v>147</v>
      </c>
      <c r="C14" s="96" t="s">
        <v>148</v>
      </c>
      <c r="D14" s="95" t="s">
        <v>130</v>
      </c>
      <c r="E14" s="97">
        <v>4968</v>
      </c>
      <c r="F14" s="126">
        <v>4428.01</v>
      </c>
      <c r="G14" s="127">
        <f>E14*F14</f>
        <v>21998353.68</v>
      </c>
    </row>
    <row r="15" spans="1:7">
      <c r="A15" s="98">
        <v>2</v>
      </c>
      <c r="B15" s="128" t="s">
        <v>149</v>
      </c>
      <c r="C15" s="128" t="s">
        <v>150</v>
      </c>
      <c r="D15" s="98" t="s">
        <v>130</v>
      </c>
      <c r="E15" s="101">
        <v>9936</v>
      </c>
      <c r="F15" s="129">
        <v>3099.61</v>
      </c>
      <c r="G15" s="130">
        <f t="shared" ref="G15:G42" si="0">E15*F15</f>
        <v>30797724.960000001</v>
      </c>
    </row>
    <row r="16" spans="1:7">
      <c r="A16" s="98">
        <v>3</v>
      </c>
      <c r="B16" s="128" t="s">
        <v>151</v>
      </c>
      <c r="C16" s="128" t="s">
        <v>152</v>
      </c>
      <c r="D16" s="98" t="s">
        <v>130</v>
      </c>
      <c r="E16" s="101">
        <v>19872</v>
      </c>
      <c r="F16" s="130">
        <v>7084.81</v>
      </c>
      <c r="G16" s="130">
        <f t="shared" si="0"/>
        <v>140789344.31999999</v>
      </c>
    </row>
    <row r="17" spans="1:7">
      <c r="A17" s="98">
        <v>4</v>
      </c>
      <c r="B17" s="128" t="s">
        <v>153</v>
      </c>
      <c r="C17" s="128" t="s">
        <v>154</v>
      </c>
      <c r="D17" s="98" t="s">
        <v>130</v>
      </c>
      <c r="E17" s="101">
        <v>55642</v>
      </c>
      <c r="F17" s="130">
        <v>2036.88</v>
      </c>
      <c r="G17" s="130">
        <f t="shared" si="0"/>
        <v>113336076.95999999</v>
      </c>
    </row>
    <row r="18" spans="1:7">
      <c r="A18" s="98">
        <v>5</v>
      </c>
      <c r="B18" s="128" t="s">
        <v>155</v>
      </c>
      <c r="C18" s="102" t="s">
        <v>156</v>
      </c>
      <c r="D18" s="98" t="s">
        <v>130</v>
      </c>
      <c r="E18" s="101">
        <v>1075</v>
      </c>
      <c r="F18" s="130">
        <v>2656.8</v>
      </c>
      <c r="G18" s="130">
        <f t="shared" si="0"/>
        <v>2856060</v>
      </c>
    </row>
    <row r="19" spans="1:7">
      <c r="A19" s="98">
        <v>6</v>
      </c>
      <c r="B19" s="128" t="s">
        <v>157</v>
      </c>
      <c r="C19" s="128" t="s">
        <v>158</v>
      </c>
      <c r="D19" s="98" t="s">
        <v>109</v>
      </c>
      <c r="E19" s="101">
        <v>35789</v>
      </c>
      <c r="F19" s="130">
        <v>177.12</v>
      </c>
      <c r="G19" s="130">
        <f t="shared" si="0"/>
        <v>6338947.6799999997</v>
      </c>
    </row>
    <row r="20" spans="1:7">
      <c r="A20" s="98">
        <v>7</v>
      </c>
      <c r="B20" s="128" t="s">
        <v>159</v>
      </c>
      <c r="C20" s="128" t="s">
        <v>160</v>
      </c>
      <c r="D20" s="98" t="s">
        <v>130</v>
      </c>
      <c r="E20" s="101">
        <v>4968</v>
      </c>
      <c r="F20" s="130">
        <v>1594.08</v>
      </c>
      <c r="G20" s="130">
        <f t="shared" si="0"/>
        <v>7919389.4400000004</v>
      </c>
    </row>
    <row r="21" spans="1:7">
      <c r="A21" s="98">
        <v>8</v>
      </c>
      <c r="B21" s="128" t="s">
        <v>161</v>
      </c>
      <c r="C21" s="131" t="s">
        <v>162</v>
      </c>
      <c r="D21" s="132" t="s">
        <v>130</v>
      </c>
      <c r="E21" s="101">
        <v>3840</v>
      </c>
      <c r="F21" s="130">
        <v>1771.2</v>
      </c>
      <c r="G21" s="130">
        <f t="shared" si="0"/>
        <v>6801408</v>
      </c>
    </row>
    <row r="22" spans="1:7">
      <c r="A22" s="98">
        <v>9</v>
      </c>
      <c r="B22" s="128" t="s">
        <v>163</v>
      </c>
      <c r="C22" s="133" t="s">
        <v>164</v>
      </c>
      <c r="D22" s="134" t="s">
        <v>130</v>
      </c>
      <c r="E22" s="101">
        <v>994</v>
      </c>
      <c r="F22" s="130">
        <v>26568.05</v>
      </c>
      <c r="G22" s="130">
        <f t="shared" si="0"/>
        <v>26408641.699999999</v>
      </c>
    </row>
    <row r="23" spans="1:7">
      <c r="A23" s="103">
        <v>10</v>
      </c>
      <c r="B23" s="135" t="s">
        <v>165</v>
      </c>
      <c r="C23" s="136" t="s">
        <v>166</v>
      </c>
      <c r="D23" s="137" t="s">
        <v>130</v>
      </c>
      <c r="E23" s="106">
        <v>2981</v>
      </c>
      <c r="F23" s="138">
        <v>5756.41</v>
      </c>
      <c r="G23" s="138">
        <f t="shared" si="0"/>
        <v>17159858.210000001</v>
      </c>
    </row>
    <row r="24" spans="1:7">
      <c r="A24" s="700">
        <v>3.2</v>
      </c>
      <c r="B24" s="701"/>
      <c r="C24" s="31" t="s">
        <v>167</v>
      </c>
      <c r="D24" s="139"/>
      <c r="E24" s="139"/>
      <c r="F24" s="140"/>
      <c r="G24" s="141">
        <f t="shared" si="0"/>
        <v>0</v>
      </c>
    </row>
    <row r="25" spans="1:7">
      <c r="A25" s="95">
        <v>1</v>
      </c>
      <c r="B25" s="142" t="s">
        <v>168</v>
      </c>
      <c r="C25" s="96" t="s">
        <v>169</v>
      </c>
      <c r="D25" s="95" t="s">
        <v>130</v>
      </c>
      <c r="E25" s="97">
        <v>842</v>
      </c>
      <c r="F25" s="126">
        <v>2656.8</v>
      </c>
      <c r="G25" s="127">
        <f t="shared" si="0"/>
        <v>2237025.6</v>
      </c>
    </row>
    <row r="26" spans="1:7">
      <c r="A26" s="98">
        <v>2</v>
      </c>
      <c r="B26" s="128" t="s">
        <v>170</v>
      </c>
      <c r="C26" s="143" t="s">
        <v>171</v>
      </c>
      <c r="D26" s="98" t="s">
        <v>130</v>
      </c>
      <c r="E26" s="101">
        <v>281</v>
      </c>
      <c r="F26" s="129">
        <v>3542.41</v>
      </c>
      <c r="G26" s="130">
        <f t="shared" si="0"/>
        <v>995417.21</v>
      </c>
    </row>
    <row r="27" spans="1:7">
      <c r="A27" s="98">
        <v>3</v>
      </c>
      <c r="B27" s="128" t="s">
        <v>172</v>
      </c>
      <c r="C27" s="143" t="s">
        <v>173</v>
      </c>
      <c r="D27" s="98" t="s">
        <v>130</v>
      </c>
      <c r="E27" s="101">
        <v>842</v>
      </c>
      <c r="F27" s="129">
        <v>7084.81</v>
      </c>
      <c r="G27" s="130">
        <f t="shared" si="0"/>
        <v>5965410.0199999996</v>
      </c>
    </row>
    <row r="28" spans="1:7">
      <c r="A28" s="98">
        <v>4</v>
      </c>
      <c r="B28" s="128" t="s">
        <v>174</v>
      </c>
      <c r="C28" s="143" t="s">
        <v>175</v>
      </c>
      <c r="D28" s="98" t="s">
        <v>130</v>
      </c>
      <c r="E28" s="101">
        <v>1685</v>
      </c>
      <c r="F28" s="129">
        <v>2656.8</v>
      </c>
      <c r="G28" s="130">
        <f t="shared" si="0"/>
        <v>4476708</v>
      </c>
    </row>
    <row r="29" spans="1:7">
      <c r="A29" s="98">
        <v>5</v>
      </c>
      <c r="B29" s="128" t="s">
        <v>176</v>
      </c>
      <c r="C29" s="21" t="s">
        <v>177</v>
      </c>
      <c r="D29" s="98" t="s">
        <v>8</v>
      </c>
      <c r="E29" s="101">
        <v>1</v>
      </c>
      <c r="F29" s="129">
        <v>3542777.45</v>
      </c>
      <c r="G29" s="130">
        <f t="shared" si="0"/>
        <v>3542777.45</v>
      </c>
    </row>
    <row r="30" spans="1:7" ht="24">
      <c r="A30" s="98">
        <v>6</v>
      </c>
      <c r="B30" s="128" t="s">
        <v>178</v>
      </c>
      <c r="C30" s="144" t="s">
        <v>204</v>
      </c>
      <c r="D30" s="98" t="s">
        <v>130</v>
      </c>
      <c r="E30" s="101">
        <v>1685</v>
      </c>
      <c r="F30" s="130">
        <v>5313.61</v>
      </c>
      <c r="G30" s="130">
        <f t="shared" si="0"/>
        <v>8953432.8499999996</v>
      </c>
    </row>
    <row r="31" spans="1:7">
      <c r="A31" s="103">
        <v>7</v>
      </c>
      <c r="B31" s="135" t="s">
        <v>179</v>
      </c>
      <c r="C31" s="23" t="s">
        <v>180</v>
      </c>
      <c r="D31" s="103" t="s">
        <v>130</v>
      </c>
      <c r="E31" s="106">
        <v>281</v>
      </c>
      <c r="F31" s="138">
        <v>3542.41</v>
      </c>
      <c r="G31" s="138">
        <f t="shared" si="0"/>
        <v>995417.21</v>
      </c>
    </row>
    <row r="32" spans="1:7">
      <c r="A32" s="702">
        <v>3.3</v>
      </c>
      <c r="B32" s="703"/>
      <c r="C32" s="145" t="s">
        <v>181</v>
      </c>
      <c r="D32" s="146"/>
      <c r="E32" s="147"/>
      <c r="F32" s="148"/>
      <c r="G32" s="149">
        <f t="shared" si="0"/>
        <v>0</v>
      </c>
    </row>
    <row r="33" spans="1:7" ht="15" customHeight="1">
      <c r="A33" s="6">
        <v>1</v>
      </c>
      <c r="B33" s="150" t="s">
        <v>182</v>
      </c>
      <c r="C33" s="151" t="s">
        <v>183</v>
      </c>
      <c r="D33" s="152" t="s">
        <v>184</v>
      </c>
      <c r="E33" s="97">
        <v>250</v>
      </c>
      <c r="F33" s="97">
        <v>5313.61</v>
      </c>
      <c r="G33" s="127">
        <f t="shared" si="0"/>
        <v>1328402.5</v>
      </c>
    </row>
    <row r="34" spans="1:7" ht="24">
      <c r="A34" s="98">
        <v>2</v>
      </c>
      <c r="B34" s="99" t="s">
        <v>185</v>
      </c>
      <c r="C34" s="154" t="s">
        <v>186</v>
      </c>
      <c r="D34" s="98" t="s">
        <v>130</v>
      </c>
      <c r="E34" s="101">
        <v>2981</v>
      </c>
      <c r="F34" s="130">
        <v>2214</v>
      </c>
      <c r="G34" s="130">
        <f t="shared" si="0"/>
        <v>6599934</v>
      </c>
    </row>
    <row r="35" spans="1:7" ht="24">
      <c r="A35" s="98">
        <v>3</v>
      </c>
      <c r="B35" s="99" t="s">
        <v>187</v>
      </c>
      <c r="C35" s="154" t="s">
        <v>188</v>
      </c>
      <c r="D35" s="98" t="s">
        <v>130</v>
      </c>
      <c r="E35" s="101">
        <v>1987</v>
      </c>
      <c r="F35" s="130">
        <v>2214</v>
      </c>
      <c r="G35" s="130">
        <f t="shared" si="0"/>
        <v>4399218</v>
      </c>
    </row>
    <row r="36" spans="1:7" ht="24">
      <c r="A36" s="98">
        <v>4</v>
      </c>
      <c r="B36" s="143" t="s">
        <v>189</v>
      </c>
      <c r="C36" s="154" t="s">
        <v>190</v>
      </c>
      <c r="D36" s="98" t="s">
        <v>130</v>
      </c>
      <c r="E36" s="101">
        <v>8640</v>
      </c>
      <c r="F36" s="130">
        <v>2302.56</v>
      </c>
      <c r="G36" s="130">
        <f t="shared" si="0"/>
        <v>19894118.399999999</v>
      </c>
    </row>
    <row r="37" spans="1:7" ht="24">
      <c r="A37" s="98">
        <v>5</v>
      </c>
      <c r="B37" s="143" t="s">
        <v>191</v>
      </c>
      <c r="C37" s="154" t="s">
        <v>192</v>
      </c>
      <c r="D37" s="98" t="s">
        <v>130</v>
      </c>
      <c r="E37" s="101">
        <v>7776</v>
      </c>
      <c r="F37" s="130">
        <v>2302.56</v>
      </c>
      <c r="G37" s="130">
        <f t="shared" si="0"/>
        <v>17904706.559999999</v>
      </c>
    </row>
    <row r="38" spans="1:7">
      <c r="A38" s="98">
        <v>6</v>
      </c>
      <c r="B38" s="143" t="s">
        <v>193</v>
      </c>
      <c r="C38" s="154" t="s">
        <v>194</v>
      </c>
      <c r="D38" s="98" t="s">
        <v>109</v>
      </c>
      <c r="E38" s="101">
        <v>8640</v>
      </c>
      <c r="F38" s="130">
        <v>177.12</v>
      </c>
      <c r="G38" s="130">
        <f t="shared" si="0"/>
        <v>1530316.8</v>
      </c>
    </row>
    <row r="39" spans="1:7">
      <c r="A39" s="98">
        <v>7</v>
      </c>
      <c r="B39" s="99" t="s">
        <v>195</v>
      </c>
      <c r="C39" s="155" t="s">
        <v>196</v>
      </c>
      <c r="D39" s="100" t="s">
        <v>197</v>
      </c>
      <c r="E39" s="13">
        <v>432</v>
      </c>
      <c r="F39" s="161">
        <v>708.48</v>
      </c>
      <c r="G39" s="130">
        <f t="shared" si="0"/>
        <v>306063.35999999999</v>
      </c>
    </row>
    <row r="40" spans="1:7">
      <c r="A40" s="98">
        <v>8</v>
      </c>
      <c r="B40" s="131" t="s">
        <v>198</v>
      </c>
      <c r="C40" s="156" t="s">
        <v>199</v>
      </c>
      <c r="D40" s="134" t="s">
        <v>130</v>
      </c>
      <c r="E40" s="13">
        <v>500</v>
      </c>
      <c r="F40" s="161">
        <v>5756.41</v>
      </c>
      <c r="G40" s="130">
        <f t="shared" si="0"/>
        <v>2878205</v>
      </c>
    </row>
    <row r="41" spans="1:7">
      <c r="A41" s="157">
        <v>9</v>
      </c>
      <c r="B41" s="131" t="s">
        <v>200</v>
      </c>
      <c r="C41" s="156" t="s">
        <v>201</v>
      </c>
      <c r="D41" s="134" t="s">
        <v>109</v>
      </c>
      <c r="E41" s="13">
        <v>900</v>
      </c>
      <c r="F41" s="161">
        <v>354.24</v>
      </c>
      <c r="G41" s="130">
        <f t="shared" si="0"/>
        <v>318816</v>
      </c>
    </row>
    <row r="42" spans="1:7">
      <c r="A42" s="158">
        <v>10</v>
      </c>
      <c r="B42" s="159" t="s">
        <v>202</v>
      </c>
      <c r="C42" s="160" t="s">
        <v>203</v>
      </c>
      <c r="D42" s="137" t="s">
        <v>109</v>
      </c>
      <c r="E42" s="18">
        <v>900</v>
      </c>
      <c r="F42" s="162">
        <v>531.36</v>
      </c>
      <c r="G42" s="138">
        <f t="shared" si="0"/>
        <v>478224</v>
      </c>
    </row>
    <row r="43" spans="1:7" s="81" customFormat="1" ht="18.75" customHeight="1">
      <c r="A43" s="89" t="s">
        <v>205</v>
      </c>
      <c r="B43" s="90"/>
      <c r="C43" s="90"/>
      <c r="D43" s="90"/>
      <c r="E43" s="90"/>
      <c r="F43" s="91"/>
      <c r="G43" s="110">
        <f>SUM(G14:G42)</f>
        <v>457209997.91000003</v>
      </c>
    </row>
    <row r="45" spans="1:7" s="1" customFormat="1">
      <c r="A45" s="116"/>
      <c r="B45" s="117"/>
      <c r="C45" s="118"/>
      <c r="D45" s="119"/>
      <c r="E45" s="119"/>
      <c r="F45" s="119"/>
      <c r="G45" s="120"/>
    </row>
    <row r="46" spans="1:7" s="1" customFormat="1" ht="23.25" customHeight="1">
      <c r="A46" s="121"/>
      <c r="B46" s="122"/>
      <c r="C46" s="122"/>
      <c r="D46" s="123"/>
      <c r="E46" s="123"/>
      <c r="F46" s="123"/>
      <c r="G46" s="121"/>
    </row>
    <row r="47" spans="1:7" s="1" customFormat="1">
      <c r="A47" s="124"/>
      <c r="B47" s="117"/>
      <c r="C47" s="118"/>
      <c r="D47" s="119"/>
      <c r="E47" s="119"/>
      <c r="F47" s="119"/>
      <c r="G47" s="120"/>
    </row>
    <row r="48" spans="1:7" s="1" customFormat="1">
      <c r="A48" s="116"/>
      <c r="B48" s="117"/>
      <c r="C48" s="118"/>
      <c r="D48" s="119"/>
      <c r="E48" s="119"/>
      <c r="F48" s="119"/>
      <c r="G48" s="120"/>
    </row>
  </sheetData>
  <mergeCells count="11">
    <mergeCell ref="A24:B24"/>
    <mergeCell ref="A32:B32"/>
    <mergeCell ref="A13:B13"/>
    <mergeCell ref="A10:C10"/>
    <mergeCell ref="D10:G10"/>
    <mergeCell ref="A11:B11"/>
    <mergeCell ref="C11:C12"/>
    <mergeCell ref="D11:D12"/>
    <mergeCell ref="E11:E12"/>
    <mergeCell ref="F11:F12"/>
    <mergeCell ref="G11:G12"/>
  </mergeCells>
  <pageMargins left="0.72" right="0.7" top="0.75" bottom="0.75" header="0.3" footer="0.3"/>
  <pageSetup paperSize="9" scale="7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2"/>
  <sheetViews>
    <sheetView view="pageBreakPreview" topLeftCell="A7" zoomScale="80" zoomScaleSheetLayoutView="80" workbookViewId="0">
      <selection activeCell="F6" sqref="F6"/>
    </sheetView>
  </sheetViews>
  <sheetFormatPr defaultRowHeight="12.75"/>
  <cols>
    <col min="1" max="1" width="5.66015625" style="82" customWidth="1"/>
    <col min="2" max="2" width="9.84375" style="83" customWidth="1"/>
    <col min="3" max="3" width="44.5" style="83" customWidth="1"/>
    <col min="4" max="4" width="6.7421875" style="82" customWidth="1"/>
    <col min="5" max="5" width="10.78515625" style="84" bestFit="1" customWidth="1"/>
    <col min="6" max="6" width="12.67578125" style="85" customWidth="1"/>
    <col min="7" max="7" width="24.2734375" style="85" customWidth="1"/>
  </cols>
  <sheetData>
    <row r="1" spans="1:7" s="29" customFormat="1" ht="16.899999999999999" customHeight="1">
      <c r="A1" s="47" t="s">
        <v>51</v>
      </c>
      <c r="B1" s="47"/>
      <c r="C1" s="48" t="str">
        <f>'Bill 1'!C1</f>
        <v>:MISCELLANEOUS FOREIGN AIDED PROJECT</v>
      </c>
      <c r="D1" s="47"/>
      <c r="E1" s="47"/>
      <c r="F1" s="47"/>
      <c r="G1" s="47"/>
    </row>
    <row r="2" spans="1:7" s="29" customFormat="1" ht="16.899999999999999" customHeight="1">
      <c r="A2" s="47" t="s">
        <v>52</v>
      </c>
      <c r="B2" s="47"/>
      <c r="C2" s="48" t="str">
        <f>'Bill 1'!C2</f>
        <v>REHABILITATION OF THE A-017 ROAD CORRIDOR PROJECT (SURIYAKANDA - RAKWANA)</v>
      </c>
      <c r="D2" s="47"/>
      <c r="E2" s="47"/>
      <c r="F2" s="47"/>
      <c r="G2" s="47"/>
    </row>
    <row r="3" spans="1:7" s="29" customFormat="1" ht="16.899999999999999" customHeight="1">
      <c r="A3" s="47" t="s">
        <v>52</v>
      </c>
      <c r="B3" s="47"/>
      <c r="C3" s="48" t="str">
        <f>'Bill 1'!C3</f>
        <v>FUNDED BY OPEC FUND FOR INTERNATIONAL DEVELOPMENT (OFID)</v>
      </c>
      <c r="D3" s="47"/>
      <c r="E3" s="47"/>
      <c r="F3" s="47"/>
      <c r="G3" s="47"/>
    </row>
    <row r="4" spans="1:7" s="29" customFormat="1" ht="16.899999999999999" customHeight="1">
      <c r="A4" s="47"/>
      <c r="B4" s="47"/>
      <c r="C4" s="48" t="str">
        <f>'Bill 1'!C4</f>
        <v>SECTION FROM CH. 112+600 KM TO CH. 118+600 KM</v>
      </c>
      <c r="D4" s="47"/>
      <c r="E4" s="47"/>
      <c r="F4" s="47"/>
      <c r="G4" s="47"/>
    </row>
    <row r="5" spans="1:7" s="29" customFormat="1" ht="5.25" customHeight="1">
      <c r="A5" s="47"/>
      <c r="B5" s="47"/>
      <c r="C5" s="48"/>
      <c r="D5" s="47"/>
      <c r="E5" s="47"/>
      <c r="F5" s="47"/>
      <c r="G5" s="47"/>
    </row>
    <row r="6" spans="1:7" s="29" customFormat="1" ht="16.899999999999999" customHeight="1">
      <c r="A6" s="47" t="s">
        <v>53</v>
      </c>
      <c r="B6" s="47"/>
      <c r="C6" s="48" t="str">
        <f>'Bill 1'!C6</f>
        <v>:RDA/MFAP/ICB/OFID-04(A)</v>
      </c>
      <c r="D6" s="47"/>
      <c r="E6" s="47"/>
      <c r="F6" s="47"/>
      <c r="G6" s="47"/>
    </row>
    <row r="7" spans="1:7" s="29" customFormat="1" ht="15.95" customHeight="1">
      <c r="A7" s="48"/>
      <c r="B7" s="47"/>
      <c r="C7" s="47"/>
      <c r="D7" s="51"/>
      <c r="E7" s="51"/>
      <c r="F7" s="51"/>
      <c r="G7" s="51"/>
    </row>
    <row r="8" spans="1:7" s="29" customFormat="1" ht="8.25" customHeight="1">
      <c r="A8" s="2"/>
      <c r="B8" s="3"/>
      <c r="C8" s="3"/>
      <c r="D8" s="4"/>
      <c r="E8" s="4"/>
      <c r="F8" s="4"/>
      <c r="G8" s="4"/>
    </row>
    <row r="9" spans="1:7" s="29" customFormat="1" ht="21" customHeight="1">
      <c r="A9" s="125" t="s">
        <v>206</v>
      </c>
      <c r="B9" s="88"/>
      <c r="C9" s="88"/>
      <c r="D9" s="35"/>
      <c r="E9" s="35"/>
      <c r="F9" s="35"/>
      <c r="G9" s="35"/>
    </row>
    <row r="10" spans="1:7" s="29" customFormat="1" ht="16.5" customHeight="1">
      <c r="A10" s="695"/>
      <c r="B10" s="695"/>
      <c r="C10" s="695"/>
      <c r="D10" s="696" t="s">
        <v>56</v>
      </c>
      <c r="E10" s="697"/>
      <c r="F10" s="697"/>
      <c r="G10" s="698"/>
    </row>
    <row r="11" spans="1:7" s="29" customFormat="1" ht="16.5" customHeight="1">
      <c r="A11" s="699" t="s">
        <v>138</v>
      </c>
      <c r="B11" s="699"/>
      <c r="C11" s="699" t="s">
        <v>74</v>
      </c>
      <c r="D11" s="699" t="s">
        <v>139</v>
      </c>
      <c r="E11" s="699" t="s">
        <v>140</v>
      </c>
      <c r="F11" s="699" t="s">
        <v>141</v>
      </c>
      <c r="G11" s="699" t="s">
        <v>57</v>
      </c>
    </row>
    <row r="12" spans="1:7" s="29" customFormat="1" ht="16.5" customHeight="1">
      <c r="A12" s="87" t="s">
        <v>0</v>
      </c>
      <c r="B12" s="87" t="s">
        <v>1</v>
      </c>
      <c r="C12" s="699"/>
      <c r="D12" s="699"/>
      <c r="E12" s="699"/>
      <c r="F12" s="699"/>
      <c r="G12" s="699"/>
    </row>
    <row r="13" spans="1:7" ht="13.5">
      <c r="A13" s="694">
        <v>4.0999999999999996</v>
      </c>
      <c r="B13" s="694"/>
      <c r="C13" s="32" t="s">
        <v>207</v>
      </c>
      <c r="D13" s="32"/>
      <c r="E13" s="32"/>
      <c r="F13" s="32"/>
      <c r="G13" s="78"/>
    </row>
    <row r="14" spans="1:7" ht="24">
      <c r="A14" s="95">
        <v>1</v>
      </c>
      <c r="B14" s="142" t="s">
        <v>208</v>
      </c>
      <c r="C14" s="153" t="s">
        <v>209</v>
      </c>
      <c r="D14" s="95" t="s">
        <v>130</v>
      </c>
      <c r="E14" s="97">
        <v>5040</v>
      </c>
      <c r="F14" s="127">
        <v>4428.01</v>
      </c>
      <c r="G14" s="127">
        <f>E14*F14</f>
        <v>22317170.399999999</v>
      </c>
    </row>
    <row r="15" spans="1:7" ht="15" customHeight="1">
      <c r="A15" s="103">
        <v>2</v>
      </c>
      <c r="B15" s="164" t="s">
        <v>210</v>
      </c>
      <c r="C15" s="135" t="s">
        <v>211</v>
      </c>
      <c r="D15" s="103" t="s">
        <v>130</v>
      </c>
      <c r="E15" s="106">
        <v>9990</v>
      </c>
      <c r="F15" s="106">
        <v>7084.82</v>
      </c>
      <c r="G15" s="138">
        <f t="shared" ref="G15:G26" si="0">E15*F15</f>
        <v>70777351.799999997</v>
      </c>
    </row>
    <row r="16" spans="1:7" ht="15" customHeight="1">
      <c r="A16" s="694">
        <v>4.2</v>
      </c>
      <c r="B16" s="694"/>
      <c r="C16" s="32" t="s">
        <v>212</v>
      </c>
      <c r="D16" s="32"/>
      <c r="E16" s="172"/>
      <c r="F16" s="32"/>
      <c r="G16" s="80"/>
    </row>
    <row r="17" spans="1:7" ht="15" customHeight="1">
      <c r="A17" s="95">
        <v>1</v>
      </c>
      <c r="B17" s="96" t="s">
        <v>213</v>
      </c>
      <c r="C17" s="142" t="s">
        <v>214</v>
      </c>
      <c r="D17" s="95" t="s">
        <v>130</v>
      </c>
      <c r="E17" s="97">
        <v>576</v>
      </c>
      <c r="F17" s="97">
        <v>6199.21</v>
      </c>
      <c r="G17" s="127">
        <f t="shared" si="0"/>
        <v>3570744.96</v>
      </c>
    </row>
    <row r="18" spans="1:7" ht="15" customHeight="1">
      <c r="A18" s="98">
        <v>2</v>
      </c>
      <c r="B18" s="143" t="s">
        <v>215</v>
      </c>
      <c r="C18" s="128" t="s">
        <v>216</v>
      </c>
      <c r="D18" s="98" t="s">
        <v>109</v>
      </c>
      <c r="E18" s="101">
        <v>576</v>
      </c>
      <c r="F18" s="101">
        <v>265.68</v>
      </c>
      <c r="G18" s="130">
        <f t="shared" si="0"/>
        <v>153031.67999999999</v>
      </c>
    </row>
    <row r="19" spans="1:7" ht="15" customHeight="1">
      <c r="A19" s="694">
        <v>4.3</v>
      </c>
      <c r="B19" s="694"/>
      <c r="C19" s="32" t="s">
        <v>217</v>
      </c>
      <c r="D19" s="32"/>
      <c r="E19" s="172"/>
      <c r="F19" s="32"/>
      <c r="G19" s="80"/>
    </row>
    <row r="20" spans="1:7" ht="15" customHeight="1">
      <c r="A20" s="77">
        <v>1</v>
      </c>
      <c r="B20" s="92" t="s">
        <v>218</v>
      </c>
      <c r="C20" s="30" t="s">
        <v>219</v>
      </c>
      <c r="D20" s="77" t="s">
        <v>130</v>
      </c>
      <c r="E20" s="86">
        <v>2700</v>
      </c>
      <c r="F20" s="86">
        <v>3985.21</v>
      </c>
      <c r="G20" s="80">
        <f t="shared" si="0"/>
        <v>10760067</v>
      </c>
    </row>
    <row r="21" spans="1:7" ht="13.5">
      <c r="A21" s="707">
        <v>4.4000000000000004</v>
      </c>
      <c r="B21" s="707"/>
      <c r="C21" s="32" t="s">
        <v>220</v>
      </c>
      <c r="D21" s="32"/>
      <c r="E21" s="172"/>
      <c r="F21" s="32"/>
      <c r="G21" s="80"/>
    </row>
    <row r="22" spans="1:7" ht="26.25">
      <c r="A22" s="95">
        <v>1</v>
      </c>
      <c r="B22" s="96" t="s">
        <v>221</v>
      </c>
      <c r="C22" s="153" t="s">
        <v>231</v>
      </c>
      <c r="D22" s="95" t="s">
        <v>109</v>
      </c>
      <c r="E22" s="97">
        <v>46620</v>
      </c>
      <c r="F22" s="97">
        <v>221.4</v>
      </c>
      <c r="G22" s="127">
        <f t="shared" si="0"/>
        <v>10321668</v>
      </c>
    </row>
    <row r="23" spans="1:7" ht="24">
      <c r="A23" s="103">
        <v>2</v>
      </c>
      <c r="B23" s="164" t="s">
        <v>222</v>
      </c>
      <c r="C23" s="23" t="s">
        <v>223</v>
      </c>
      <c r="D23" s="103" t="s">
        <v>109</v>
      </c>
      <c r="E23" s="106">
        <v>46620</v>
      </c>
      <c r="F23" s="106">
        <v>177.12</v>
      </c>
      <c r="G23" s="138">
        <f t="shared" si="0"/>
        <v>8257334.4000000004</v>
      </c>
    </row>
    <row r="24" spans="1:7" ht="15" customHeight="1">
      <c r="A24" s="694">
        <v>4.5</v>
      </c>
      <c r="B24" s="694"/>
      <c r="C24" s="32" t="s">
        <v>224</v>
      </c>
      <c r="D24" s="32"/>
      <c r="E24" s="172"/>
      <c r="F24" s="32"/>
      <c r="G24" s="80"/>
    </row>
    <row r="25" spans="1:7" ht="15" customHeight="1">
      <c r="A25" s="95">
        <v>1</v>
      </c>
      <c r="B25" s="96" t="s">
        <v>225</v>
      </c>
      <c r="C25" s="142" t="s">
        <v>226</v>
      </c>
      <c r="D25" s="95" t="s">
        <v>227</v>
      </c>
      <c r="E25" s="97">
        <v>5711</v>
      </c>
      <c r="F25" s="167">
        <v>16383.62</v>
      </c>
      <c r="G25" s="127">
        <f t="shared" si="0"/>
        <v>93566853.819999993</v>
      </c>
    </row>
    <row r="26" spans="1:7" ht="15" customHeight="1">
      <c r="A26" s="168">
        <v>2</v>
      </c>
      <c r="B26" s="169" t="s">
        <v>228</v>
      </c>
      <c r="C26" s="170" t="s">
        <v>229</v>
      </c>
      <c r="D26" s="103" t="s">
        <v>227</v>
      </c>
      <c r="E26" s="106">
        <v>100</v>
      </c>
      <c r="F26" s="171">
        <v>16250.87</v>
      </c>
      <c r="G26" s="138">
        <f t="shared" si="0"/>
        <v>1625087</v>
      </c>
    </row>
    <row r="27" spans="1:7" ht="15" customHeight="1">
      <c r="A27" s="706" t="s">
        <v>230</v>
      </c>
      <c r="B27" s="706"/>
      <c r="C27" s="706"/>
      <c r="D27" s="706"/>
      <c r="E27" s="706"/>
      <c r="F27" s="706"/>
      <c r="G27" s="166">
        <f>SUM(G13:G26)</f>
        <v>221349309.06</v>
      </c>
    </row>
    <row r="29" spans="1:7" s="1" customFormat="1" ht="13.5">
      <c r="A29" s="116"/>
      <c r="B29" s="117"/>
      <c r="C29" s="118"/>
      <c r="D29" s="119"/>
      <c r="E29" s="119"/>
      <c r="F29" s="119"/>
      <c r="G29" s="120"/>
    </row>
    <row r="30" spans="1:7" s="1" customFormat="1" ht="23.25" customHeight="1">
      <c r="A30" s="121"/>
      <c r="B30" s="122"/>
      <c r="C30" s="122"/>
      <c r="D30" s="123"/>
      <c r="E30" s="123"/>
      <c r="F30" s="123"/>
      <c r="G30" s="121"/>
    </row>
    <row r="31" spans="1:7" s="1" customFormat="1" ht="13.5">
      <c r="A31" s="124"/>
      <c r="B31" s="117"/>
      <c r="C31" s="118"/>
      <c r="D31" s="119"/>
      <c r="E31" s="119"/>
      <c r="F31" s="119"/>
      <c r="G31" s="120"/>
    </row>
    <row r="32" spans="1:7" s="1" customFormat="1" ht="13.5">
      <c r="A32" s="116"/>
      <c r="B32" s="117"/>
      <c r="C32" s="118"/>
      <c r="D32" s="119"/>
      <c r="E32" s="119"/>
      <c r="F32" s="119"/>
      <c r="G32" s="120"/>
    </row>
  </sheetData>
  <mergeCells count="14">
    <mergeCell ref="A24:B24"/>
    <mergeCell ref="A27:F27"/>
    <mergeCell ref="A13:B13"/>
    <mergeCell ref="A21:B21"/>
    <mergeCell ref="A16:B16"/>
    <mergeCell ref="A19:B19"/>
    <mergeCell ref="A10:C10"/>
    <mergeCell ref="D10:G10"/>
    <mergeCell ref="A11:B11"/>
    <mergeCell ref="C11:C12"/>
    <mergeCell ref="D11:D12"/>
    <mergeCell ref="E11:E12"/>
    <mergeCell ref="F11:F12"/>
    <mergeCell ref="G11:G12"/>
  </mergeCells>
  <pageMargins left="0.57999999999999996" right="0.2" top="0.38" bottom="0.39" header="0.3" footer="0.3"/>
  <pageSetup paperSize="9" scale="8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2"/>
  <sheetViews>
    <sheetView view="pageBreakPreview" topLeftCell="A13" zoomScale="80" zoomScaleSheetLayoutView="80" workbookViewId="0">
      <selection activeCell="A29" sqref="A29:A32"/>
    </sheetView>
  </sheetViews>
  <sheetFormatPr defaultColWidth="9.16796875" defaultRowHeight="13.5"/>
  <cols>
    <col min="1" max="1" width="5.66015625" style="82" customWidth="1"/>
    <col min="2" max="2" width="9.84375" style="83" customWidth="1"/>
    <col min="3" max="3" width="46.1171875" style="83" customWidth="1"/>
    <col min="4" max="4" width="6.7421875" style="82" customWidth="1"/>
    <col min="5" max="5" width="10.24609375" style="84" bestFit="1" customWidth="1"/>
    <col min="6" max="6" width="12.67578125" style="85" customWidth="1"/>
    <col min="7" max="7" width="16.44921875" style="85" bestFit="1" customWidth="1"/>
    <col min="8" max="16384" width="9.16796875" style="76"/>
  </cols>
  <sheetData>
    <row r="1" spans="1:7" s="29" customFormat="1" ht="16.899999999999999" customHeight="1">
      <c r="A1" s="47" t="s">
        <v>51</v>
      </c>
      <c r="B1" s="47"/>
      <c r="C1" s="48" t="str">
        <f>'Bill 1'!C1</f>
        <v>:MISCELLANEOUS FOREIGN AIDED PROJECT</v>
      </c>
      <c r="D1" s="47"/>
      <c r="E1" s="47"/>
      <c r="F1" s="47"/>
      <c r="G1" s="47"/>
    </row>
    <row r="2" spans="1:7" s="29" customFormat="1" ht="16.899999999999999" customHeight="1">
      <c r="A2" s="47" t="s">
        <v>52</v>
      </c>
      <c r="B2" s="47"/>
      <c r="C2" s="48" t="str">
        <f>'Bill 1'!C2</f>
        <v>REHABILITATION OF THE A-017 ROAD CORRIDOR PROJECT (SURIYAKANDA - RAKWANA)</v>
      </c>
      <c r="D2" s="47"/>
      <c r="E2" s="47"/>
      <c r="F2" s="47"/>
      <c r="G2" s="47"/>
    </row>
    <row r="3" spans="1:7" s="29" customFormat="1" ht="16.899999999999999" customHeight="1">
      <c r="A3" s="47" t="s">
        <v>52</v>
      </c>
      <c r="B3" s="47"/>
      <c r="C3" s="48" t="str">
        <f>'Bill 1'!C3</f>
        <v>FUNDED BY OPEC FUND FOR INTERNATIONAL DEVELOPMENT (OFID)</v>
      </c>
      <c r="D3" s="47"/>
      <c r="E3" s="47"/>
      <c r="F3" s="47"/>
      <c r="G3" s="47"/>
    </row>
    <row r="4" spans="1:7" s="29" customFormat="1" ht="16.899999999999999" customHeight="1">
      <c r="A4" s="47"/>
      <c r="B4" s="47"/>
      <c r="C4" s="48" t="str">
        <f>'Bill 1'!C4</f>
        <v>SECTION FROM CH. 112+600 KM TO CH. 118+600 KM</v>
      </c>
      <c r="D4" s="47"/>
      <c r="E4" s="47"/>
      <c r="F4" s="47"/>
      <c r="G4" s="47"/>
    </row>
    <row r="5" spans="1:7" s="29" customFormat="1" ht="5.25" customHeight="1">
      <c r="A5" s="47"/>
      <c r="B5" s="47"/>
      <c r="C5" s="48"/>
      <c r="D5" s="47"/>
      <c r="E5" s="47"/>
      <c r="F5" s="47"/>
      <c r="G5" s="47"/>
    </row>
    <row r="6" spans="1:7" s="29" customFormat="1" ht="16.899999999999999" customHeight="1">
      <c r="A6" s="47" t="s">
        <v>53</v>
      </c>
      <c r="B6" s="47"/>
      <c r="C6" s="48" t="str">
        <f>'Bill 1'!C6</f>
        <v>:RDA/MFAP/ICB/OFID-04(A)</v>
      </c>
      <c r="D6" s="47"/>
      <c r="E6" s="47"/>
      <c r="F6" s="47"/>
      <c r="G6" s="47"/>
    </row>
    <row r="7" spans="1:7" s="29" customFormat="1" ht="15.95" customHeight="1">
      <c r="A7" s="48"/>
      <c r="B7" s="47"/>
      <c r="C7" s="47"/>
      <c r="D7" s="51"/>
      <c r="E7" s="51"/>
      <c r="F7" s="51"/>
      <c r="G7" s="51"/>
    </row>
    <row r="8" spans="1:7" s="29" customFormat="1" ht="8.25" customHeight="1">
      <c r="A8" s="2"/>
      <c r="B8" s="3"/>
      <c r="C8" s="3"/>
      <c r="D8" s="4"/>
      <c r="E8" s="4"/>
      <c r="F8" s="4"/>
      <c r="G8" s="4"/>
    </row>
    <row r="9" spans="1:7" s="29" customFormat="1" ht="21" customHeight="1">
      <c r="A9" s="125" t="s">
        <v>232</v>
      </c>
      <c r="B9" s="88"/>
      <c r="C9" s="88"/>
      <c r="D9" s="35"/>
      <c r="E9" s="35"/>
      <c r="F9" s="35"/>
      <c r="G9" s="35"/>
    </row>
    <row r="10" spans="1:7" s="29" customFormat="1" ht="16.5" customHeight="1">
      <c r="A10" s="695"/>
      <c r="B10" s="695"/>
      <c r="C10" s="695"/>
      <c r="D10" s="696" t="s">
        <v>56</v>
      </c>
      <c r="E10" s="697"/>
      <c r="F10" s="697"/>
      <c r="G10" s="698"/>
    </row>
    <row r="11" spans="1:7" s="29" customFormat="1" ht="16.5" customHeight="1">
      <c r="A11" s="699" t="s">
        <v>138</v>
      </c>
      <c r="B11" s="699"/>
      <c r="C11" s="699" t="s">
        <v>74</v>
      </c>
      <c r="D11" s="699" t="s">
        <v>139</v>
      </c>
      <c r="E11" s="699" t="s">
        <v>140</v>
      </c>
      <c r="F11" s="699" t="s">
        <v>141</v>
      </c>
      <c r="G11" s="699" t="s">
        <v>57</v>
      </c>
    </row>
    <row r="12" spans="1:7" s="29" customFormat="1" ht="16.5" customHeight="1">
      <c r="A12" s="87" t="s">
        <v>0</v>
      </c>
      <c r="B12" s="87" t="s">
        <v>1</v>
      </c>
      <c r="C12" s="699"/>
      <c r="D12" s="699"/>
      <c r="E12" s="699"/>
      <c r="F12" s="699"/>
      <c r="G12" s="699"/>
    </row>
    <row r="13" spans="1:7">
      <c r="A13" s="711">
        <v>5.0999999999999996</v>
      </c>
      <c r="B13" s="712"/>
      <c r="C13" s="89" t="s">
        <v>233</v>
      </c>
      <c r="D13" s="32"/>
      <c r="E13" s="32"/>
      <c r="F13" s="32"/>
      <c r="G13" s="94"/>
    </row>
    <row r="14" spans="1:7" ht="24">
      <c r="A14" s="6">
        <v>1</v>
      </c>
      <c r="B14" s="6" t="s">
        <v>178</v>
      </c>
      <c r="C14" s="153" t="s">
        <v>234</v>
      </c>
      <c r="D14" s="6" t="s">
        <v>130</v>
      </c>
      <c r="E14" s="9">
        <v>2016</v>
      </c>
      <c r="F14" s="127">
        <v>3099.61</v>
      </c>
      <c r="G14" s="127">
        <f>E14*F14</f>
        <v>6248813.7599999998</v>
      </c>
    </row>
    <row r="15" spans="1:7" ht="15" customHeight="1">
      <c r="A15" s="10">
        <v>2</v>
      </c>
      <c r="B15" s="10" t="s">
        <v>172</v>
      </c>
      <c r="C15" s="21" t="s">
        <v>235</v>
      </c>
      <c r="D15" s="10" t="s">
        <v>130</v>
      </c>
      <c r="E15" s="13">
        <v>100</v>
      </c>
      <c r="F15" s="130">
        <v>7084.81</v>
      </c>
      <c r="G15" s="130">
        <f t="shared" ref="G15:G26" si="0">E15*F15</f>
        <v>708481</v>
      </c>
    </row>
    <row r="16" spans="1:7" ht="15" customHeight="1">
      <c r="A16" s="98">
        <v>3</v>
      </c>
      <c r="B16" s="98" t="s">
        <v>236</v>
      </c>
      <c r="C16" s="21" t="s">
        <v>237</v>
      </c>
      <c r="D16" s="98" t="s">
        <v>238</v>
      </c>
      <c r="E16" s="101">
        <v>1260</v>
      </c>
      <c r="F16" s="130">
        <v>23911.25</v>
      </c>
      <c r="G16" s="130">
        <f t="shared" si="0"/>
        <v>30128175</v>
      </c>
    </row>
    <row r="17" spans="1:7" ht="15" customHeight="1">
      <c r="A17" s="10">
        <v>4</v>
      </c>
      <c r="B17" s="98" t="s">
        <v>239</v>
      </c>
      <c r="C17" s="21" t="s">
        <v>240</v>
      </c>
      <c r="D17" s="98" t="s">
        <v>238</v>
      </c>
      <c r="E17" s="101">
        <v>252</v>
      </c>
      <c r="F17" s="130">
        <v>20811.650000000001</v>
      </c>
      <c r="G17" s="130">
        <f t="shared" si="0"/>
        <v>5244535.8</v>
      </c>
    </row>
    <row r="18" spans="1:7" ht="15" customHeight="1">
      <c r="A18" s="10">
        <v>5</v>
      </c>
      <c r="B18" s="98" t="s">
        <v>241</v>
      </c>
      <c r="C18" s="21" t="s">
        <v>242</v>
      </c>
      <c r="D18" s="98" t="s">
        <v>238</v>
      </c>
      <c r="E18" s="101">
        <v>40</v>
      </c>
      <c r="F18" s="130">
        <v>13284.01</v>
      </c>
      <c r="G18" s="130">
        <f t="shared" si="0"/>
        <v>531360.4</v>
      </c>
    </row>
    <row r="19" spans="1:7" ht="24">
      <c r="A19" s="98">
        <v>6</v>
      </c>
      <c r="B19" s="98" t="s">
        <v>243</v>
      </c>
      <c r="C19" s="21" t="s">
        <v>244</v>
      </c>
      <c r="D19" s="98" t="s">
        <v>109</v>
      </c>
      <c r="E19" s="101">
        <v>168</v>
      </c>
      <c r="F19" s="130">
        <v>4428.01</v>
      </c>
      <c r="G19" s="130">
        <f t="shared" si="0"/>
        <v>743905.68</v>
      </c>
    </row>
    <row r="20" spans="1:7" ht="24">
      <c r="A20" s="10">
        <v>7</v>
      </c>
      <c r="B20" s="98" t="s">
        <v>245</v>
      </c>
      <c r="C20" s="21" t="s">
        <v>246</v>
      </c>
      <c r="D20" s="98" t="s">
        <v>109</v>
      </c>
      <c r="E20" s="101">
        <v>202</v>
      </c>
      <c r="F20" s="130">
        <v>5756.41</v>
      </c>
      <c r="G20" s="130">
        <f t="shared" si="0"/>
        <v>1162794.82</v>
      </c>
    </row>
    <row r="21" spans="1:7" ht="24">
      <c r="A21" s="10">
        <v>8</v>
      </c>
      <c r="B21" s="98" t="s">
        <v>247</v>
      </c>
      <c r="C21" s="21" t="s">
        <v>248</v>
      </c>
      <c r="D21" s="98" t="s">
        <v>109</v>
      </c>
      <c r="E21" s="101">
        <v>336</v>
      </c>
      <c r="F21" s="130">
        <v>6642.01</v>
      </c>
      <c r="G21" s="130">
        <f t="shared" si="0"/>
        <v>2231715.36</v>
      </c>
    </row>
    <row r="22" spans="1:7" ht="24">
      <c r="A22" s="98">
        <v>9</v>
      </c>
      <c r="B22" s="163" t="s">
        <v>249</v>
      </c>
      <c r="C22" s="173" t="s">
        <v>250</v>
      </c>
      <c r="D22" s="163" t="s">
        <v>109</v>
      </c>
      <c r="E22" s="101">
        <v>100</v>
      </c>
      <c r="F22" s="130">
        <v>4428.01</v>
      </c>
      <c r="G22" s="130">
        <f t="shared" si="0"/>
        <v>442801</v>
      </c>
    </row>
    <row r="23" spans="1:7" ht="24">
      <c r="A23" s="10">
        <v>10</v>
      </c>
      <c r="B23" s="163" t="s">
        <v>251</v>
      </c>
      <c r="C23" s="173" t="s">
        <v>252</v>
      </c>
      <c r="D23" s="163" t="s">
        <v>238</v>
      </c>
      <c r="E23" s="101">
        <v>72</v>
      </c>
      <c r="F23" s="130">
        <v>19483.240000000002</v>
      </c>
      <c r="G23" s="130">
        <f t="shared" si="0"/>
        <v>1402793.28</v>
      </c>
    </row>
    <row r="24" spans="1:7" ht="16.5" customHeight="1">
      <c r="A24" s="10">
        <v>11</v>
      </c>
      <c r="B24" s="163" t="s">
        <v>253</v>
      </c>
      <c r="C24" s="174" t="s">
        <v>254</v>
      </c>
      <c r="D24" s="163" t="s">
        <v>260</v>
      </c>
      <c r="E24" s="101">
        <v>10</v>
      </c>
      <c r="F24" s="130">
        <v>287820.53999999998</v>
      </c>
      <c r="G24" s="130">
        <f t="shared" si="0"/>
        <v>2878205.4</v>
      </c>
    </row>
    <row r="25" spans="1:7" ht="16.5" customHeight="1">
      <c r="A25" s="98">
        <v>12</v>
      </c>
      <c r="B25" s="163" t="s">
        <v>255</v>
      </c>
      <c r="C25" s="174" t="s">
        <v>256</v>
      </c>
      <c r="D25" s="163" t="s">
        <v>109</v>
      </c>
      <c r="E25" s="101">
        <v>2520</v>
      </c>
      <c r="F25" s="130">
        <v>1948.32</v>
      </c>
      <c r="G25" s="130">
        <f t="shared" si="0"/>
        <v>4909766.4000000004</v>
      </c>
    </row>
    <row r="26" spans="1:7" ht="16.5" customHeight="1">
      <c r="A26" s="14">
        <v>13</v>
      </c>
      <c r="B26" s="165" t="s">
        <v>257</v>
      </c>
      <c r="C26" s="175" t="s">
        <v>258</v>
      </c>
      <c r="D26" s="165" t="s">
        <v>109</v>
      </c>
      <c r="E26" s="106">
        <v>2520</v>
      </c>
      <c r="F26" s="138">
        <v>1948.32</v>
      </c>
      <c r="G26" s="138">
        <f t="shared" si="0"/>
        <v>4909766.4000000004</v>
      </c>
    </row>
    <row r="27" spans="1:7" ht="17.25" customHeight="1">
      <c r="A27" s="708" t="s">
        <v>259</v>
      </c>
      <c r="B27" s="709"/>
      <c r="C27" s="709"/>
      <c r="D27" s="709"/>
      <c r="E27" s="709"/>
      <c r="F27" s="710"/>
      <c r="G27" s="166">
        <f>SUM(G13:G26)</f>
        <v>61543114.299999997</v>
      </c>
    </row>
    <row r="28" spans="1:7" customFormat="1" ht="12.75">
      <c r="A28" s="82"/>
      <c r="B28" s="83"/>
      <c r="C28" s="83"/>
      <c r="D28" s="82"/>
      <c r="E28" s="84"/>
      <c r="F28" s="85"/>
      <c r="G28" s="85"/>
    </row>
    <row r="29" spans="1:7" s="1" customFormat="1">
      <c r="A29" s="116"/>
      <c r="B29" s="117"/>
      <c r="C29" s="118"/>
      <c r="D29" s="119"/>
      <c r="E29" s="119"/>
      <c r="F29" s="119"/>
      <c r="G29" s="120"/>
    </row>
    <row r="30" spans="1:7" s="1" customFormat="1" ht="23.25" customHeight="1">
      <c r="A30" s="121"/>
      <c r="B30" s="122"/>
      <c r="C30" s="122"/>
      <c r="D30" s="123"/>
      <c r="E30" s="123"/>
      <c r="F30" s="123"/>
      <c r="G30" s="121"/>
    </row>
    <row r="31" spans="1:7" s="1" customFormat="1">
      <c r="A31" s="124"/>
      <c r="B31" s="117"/>
      <c r="C31" s="118"/>
      <c r="D31" s="119"/>
      <c r="E31" s="119"/>
      <c r="F31" s="119"/>
      <c r="G31" s="120"/>
    </row>
    <row r="32" spans="1:7" s="1" customFormat="1">
      <c r="A32" s="116"/>
      <c r="B32" s="117"/>
      <c r="C32" s="118"/>
      <c r="D32" s="119"/>
      <c r="E32" s="119"/>
      <c r="F32" s="119"/>
      <c r="G32" s="120"/>
    </row>
  </sheetData>
  <mergeCells count="10">
    <mergeCell ref="A27:F27"/>
    <mergeCell ref="A13:B13"/>
    <mergeCell ref="A10:C10"/>
    <mergeCell ref="D10:G10"/>
    <mergeCell ref="A11:B11"/>
    <mergeCell ref="C11:C12"/>
    <mergeCell ref="D11:D12"/>
    <mergeCell ref="E11:E12"/>
    <mergeCell ref="F11:F12"/>
    <mergeCell ref="G11:G12"/>
  </mergeCells>
  <pageMargins left="0.7" right="0.66" top="0.75" bottom="0.75" header="0.3" footer="0.3"/>
  <pageSetup paperSize="9" scale="8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13"/>
  <sheetViews>
    <sheetView view="pageBreakPreview" topLeftCell="A7" zoomScale="80" zoomScaleSheetLayoutView="80" workbookViewId="0">
      <selection activeCell="C20" sqref="C20"/>
    </sheetView>
  </sheetViews>
  <sheetFormatPr defaultRowHeight="12.75"/>
  <cols>
    <col min="1" max="1" width="5.66015625" style="82" customWidth="1"/>
    <col min="2" max="2" width="9.84375" style="83" customWidth="1"/>
    <col min="3" max="3" width="43.15234375" style="83" customWidth="1"/>
    <col min="4" max="4" width="6.7421875" style="82" customWidth="1"/>
    <col min="5" max="5" width="9.84375" style="84" bestFit="1" customWidth="1"/>
    <col min="6" max="6" width="13.484375" style="85" bestFit="1" customWidth="1"/>
    <col min="7" max="7" width="23.328125" style="85" customWidth="1"/>
    <col min="9" max="9" width="12.26953125" bestFit="1" customWidth="1"/>
  </cols>
  <sheetData>
    <row r="1" spans="1:7" s="29" customFormat="1" ht="16.899999999999999" customHeight="1">
      <c r="A1" s="47" t="s">
        <v>51</v>
      </c>
      <c r="B1" s="47"/>
      <c r="C1" s="48" t="str">
        <f>'Bill 1'!C1</f>
        <v>:MISCELLANEOUS FOREIGN AIDED PROJECT</v>
      </c>
      <c r="D1" s="47"/>
      <c r="E1" s="47"/>
      <c r="F1" s="47"/>
      <c r="G1" s="47"/>
    </row>
    <row r="2" spans="1:7" s="29" customFormat="1" ht="16.899999999999999" customHeight="1">
      <c r="A2" s="47" t="s">
        <v>52</v>
      </c>
      <c r="B2" s="47"/>
      <c r="C2" s="48" t="str">
        <f>'Bill 1'!C2</f>
        <v>REHABILITATION OF THE A-017 ROAD CORRIDOR PROJECT (SURIYAKANDA - RAKWANA)</v>
      </c>
      <c r="D2" s="47"/>
      <c r="E2" s="47"/>
      <c r="F2" s="47"/>
      <c r="G2" s="47"/>
    </row>
    <row r="3" spans="1:7" s="29" customFormat="1" ht="16.899999999999999" customHeight="1">
      <c r="A3" s="47" t="s">
        <v>52</v>
      </c>
      <c r="B3" s="47"/>
      <c r="C3" s="48" t="str">
        <f>'Bill 1'!C3</f>
        <v>FUNDED BY OPEC FUND FOR INTERNATIONAL DEVELOPMENT (OFID)</v>
      </c>
      <c r="D3" s="47"/>
      <c r="E3" s="47"/>
      <c r="F3" s="47"/>
      <c r="G3" s="47"/>
    </row>
    <row r="4" spans="1:7" s="29" customFormat="1" ht="16.899999999999999" customHeight="1">
      <c r="A4" s="47"/>
      <c r="B4" s="47"/>
      <c r="C4" s="48" t="str">
        <f>'Bill 1'!C4</f>
        <v>SECTION FROM CH. 112+600 KM TO CH. 118+600 KM</v>
      </c>
      <c r="D4" s="47"/>
      <c r="E4" s="47"/>
      <c r="F4" s="47"/>
      <c r="G4" s="47"/>
    </row>
    <row r="5" spans="1:7" s="29" customFormat="1" ht="5.25" customHeight="1">
      <c r="A5" s="47"/>
      <c r="B5" s="47"/>
      <c r="C5" s="48"/>
      <c r="D5" s="47"/>
      <c r="E5" s="47"/>
      <c r="F5" s="47"/>
      <c r="G5" s="47"/>
    </row>
    <row r="6" spans="1:7" s="29" customFormat="1" ht="16.899999999999999" customHeight="1">
      <c r="A6" s="47" t="s">
        <v>53</v>
      </c>
      <c r="B6" s="47"/>
      <c r="C6" s="48" t="str">
        <f>'Bill 1'!C6</f>
        <v>:RDA/MFAP/ICB/OFID-04(A)</v>
      </c>
      <c r="D6" s="47"/>
      <c r="E6" s="47"/>
      <c r="F6" s="47"/>
      <c r="G6" s="47"/>
    </row>
    <row r="7" spans="1:7" s="29" customFormat="1" ht="15.95" customHeight="1">
      <c r="A7" s="48"/>
      <c r="B7" s="47"/>
      <c r="C7" s="47"/>
      <c r="D7" s="51"/>
      <c r="E7" s="51"/>
      <c r="F7" s="51"/>
      <c r="G7" s="51"/>
    </row>
    <row r="8" spans="1:7" s="29" customFormat="1" ht="8.25" customHeight="1">
      <c r="A8" s="2"/>
      <c r="B8" s="3"/>
      <c r="C8" s="3"/>
      <c r="D8" s="4"/>
      <c r="E8" s="4"/>
      <c r="F8" s="4"/>
      <c r="G8" s="4"/>
    </row>
    <row r="9" spans="1:7" s="29" customFormat="1" ht="21" customHeight="1">
      <c r="A9" s="125" t="s">
        <v>261</v>
      </c>
      <c r="B9" s="88"/>
      <c r="C9" s="88"/>
      <c r="D9" s="35"/>
      <c r="E9" s="35"/>
      <c r="F9" s="35"/>
      <c r="G9" s="35"/>
    </row>
    <row r="10" spans="1:7" s="29" customFormat="1" ht="16.5" customHeight="1">
      <c r="A10" s="695"/>
      <c r="B10" s="695"/>
      <c r="C10" s="695"/>
      <c r="D10" s="696" t="s">
        <v>56</v>
      </c>
      <c r="E10" s="697"/>
      <c r="F10" s="697"/>
      <c r="G10" s="698"/>
    </row>
    <row r="11" spans="1:7" s="29" customFormat="1" ht="16.5" customHeight="1">
      <c r="A11" s="699" t="s">
        <v>138</v>
      </c>
      <c r="B11" s="699"/>
      <c r="C11" s="699" t="s">
        <v>74</v>
      </c>
      <c r="D11" s="699" t="s">
        <v>139</v>
      </c>
      <c r="E11" s="699" t="s">
        <v>140</v>
      </c>
      <c r="F11" s="699" t="s">
        <v>141</v>
      </c>
      <c r="G11" s="699" t="s">
        <v>57</v>
      </c>
    </row>
    <row r="12" spans="1:7" s="29" customFormat="1" ht="16.5" customHeight="1">
      <c r="A12" s="87" t="s">
        <v>0</v>
      </c>
      <c r="B12" s="87" t="s">
        <v>1</v>
      </c>
      <c r="C12" s="699"/>
      <c r="D12" s="699"/>
      <c r="E12" s="699"/>
      <c r="F12" s="699"/>
      <c r="G12" s="699"/>
    </row>
    <row r="13" spans="1:7" ht="13.5">
      <c r="A13" s="89">
        <v>6.1</v>
      </c>
      <c r="B13" s="91"/>
      <c r="C13" s="89" t="s">
        <v>262</v>
      </c>
      <c r="D13" s="90"/>
      <c r="E13" s="90"/>
      <c r="F13" s="91"/>
      <c r="G13" s="94"/>
    </row>
    <row r="14" spans="1:7" ht="15" customHeight="1">
      <c r="A14" s="6">
        <v>1</v>
      </c>
      <c r="B14" s="6" t="s">
        <v>263</v>
      </c>
      <c r="C14" s="153" t="s">
        <v>264</v>
      </c>
      <c r="D14" s="6" t="s">
        <v>130</v>
      </c>
      <c r="E14" s="9">
        <v>3456</v>
      </c>
      <c r="F14" s="127">
        <v>5313.61</v>
      </c>
      <c r="G14" s="127">
        <f>E14*F14</f>
        <v>18363836.16</v>
      </c>
    </row>
    <row r="15" spans="1:7" ht="15" customHeight="1">
      <c r="A15" s="10">
        <v>2</v>
      </c>
      <c r="B15" s="10" t="s">
        <v>265</v>
      </c>
      <c r="C15" s="21" t="s">
        <v>266</v>
      </c>
      <c r="D15" s="10" t="s">
        <v>130</v>
      </c>
      <c r="E15" s="13">
        <v>1728</v>
      </c>
      <c r="F15" s="130">
        <v>6199.21</v>
      </c>
      <c r="G15" s="130">
        <f>E15*F15</f>
        <v>10712234.880000001</v>
      </c>
    </row>
    <row r="16" spans="1:7" ht="15" customHeight="1">
      <c r="A16" s="98">
        <v>3</v>
      </c>
      <c r="B16" s="98" t="s">
        <v>267</v>
      </c>
      <c r="C16" s="21" t="s">
        <v>268</v>
      </c>
      <c r="D16" s="98" t="s">
        <v>130</v>
      </c>
      <c r="E16" s="101">
        <v>311</v>
      </c>
      <c r="F16" s="130">
        <v>3542.41</v>
      </c>
      <c r="G16" s="130">
        <f t="shared" ref="G16:G34" si="0">E16*F16</f>
        <v>1101689.51</v>
      </c>
    </row>
    <row r="17" spans="1:7" ht="15" customHeight="1">
      <c r="A17" s="10">
        <v>4</v>
      </c>
      <c r="B17" s="98" t="s">
        <v>269</v>
      </c>
      <c r="C17" s="21" t="s">
        <v>270</v>
      </c>
      <c r="D17" s="98" t="s">
        <v>271</v>
      </c>
      <c r="E17" s="101">
        <v>600</v>
      </c>
      <c r="F17" s="130">
        <v>2214</v>
      </c>
      <c r="G17" s="130">
        <f t="shared" si="0"/>
        <v>1328400</v>
      </c>
    </row>
    <row r="18" spans="1:7" ht="15" customHeight="1">
      <c r="A18" s="10">
        <v>5</v>
      </c>
      <c r="B18" s="98" t="s">
        <v>272</v>
      </c>
      <c r="C18" s="21" t="s">
        <v>437</v>
      </c>
      <c r="D18" s="98" t="s">
        <v>271</v>
      </c>
      <c r="E18" s="101">
        <v>150</v>
      </c>
      <c r="F18" s="130">
        <v>13284.02</v>
      </c>
      <c r="G18" s="130">
        <f t="shared" si="0"/>
        <v>1992603</v>
      </c>
    </row>
    <row r="19" spans="1:7" ht="15" customHeight="1">
      <c r="A19" s="10">
        <v>6</v>
      </c>
      <c r="B19" s="98" t="s">
        <v>273</v>
      </c>
      <c r="C19" s="21" t="s">
        <v>438</v>
      </c>
      <c r="D19" s="98" t="s">
        <v>271</v>
      </c>
      <c r="E19" s="101">
        <v>150</v>
      </c>
      <c r="F19" s="130">
        <v>17712.03</v>
      </c>
      <c r="G19" s="130">
        <f t="shared" si="0"/>
        <v>2656804.5</v>
      </c>
    </row>
    <row r="20" spans="1:7" ht="15" customHeight="1">
      <c r="A20" s="10">
        <v>7</v>
      </c>
      <c r="B20" s="98" t="s">
        <v>274</v>
      </c>
      <c r="C20" s="21" t="s">
        <v>439</v>
      </c>
      <c r="D20" s="98" t="s">
        <v>271</v>
      </c>
      <c r="E20" s="101">
        <v>150</v>
      </c>
      <c r="F20" s="130">
        <v>22582.84</v>
      </c>
      <c r="G20" s="130">
        <f t="shared" si="0"/>
        <v>3387426</v>
      </c>
    </row>
    <row r="21" spans="1:7" ht="15" customHeight="1">
      <c r="A21" s="10">
        <v>8</v>
      </c>
      <c r="B21" s="98" t="s">
        <v>275</v>
      </c>
      <c r="C21" s="21" t="s">
        <v>276</v>
      </c>
      <c r="D21" s="98" t="s">
        <v>130</v>
      </c>
      <c r="E21" s="101">
        <v>1080</v>
      </c>
      <c r="F21" s="130">
        <v>24354.04</v>
      </c>
      <c r="G21" s="130">
        <f t="shared" si="0"/>
        <v>26302363.199999999</v>
      </c>
    </row>
    <row r="22" spans="1:7" ht="15" customHeight="1">
      <c r="A22" s="10">
        <v>9</v>
      </c>
      <c r="B22" s="98" t="s">
        <v>277</v>
      </c>
      <c r="C22" s="21" t="s">
        <v>278</v>
      </c>
      <c r="D22" s="98" t="s">
        <v>130</v>
      </c>
      <c r="E22" s="101">
        <v>100</v>
      </c>
      <c r="F22" s="130">
        <v>23025.64</v>
      </c>
      <c r="G22" s="130">
        <f t="shared" si="0"/>
        <v>2302564</v>
      </c>
    </row>
    <row r="23" spans="1:7" ht="15" customHeight="1">
      <c r="A23" s="10">
        <v>10</v>
      </c>
      <c r="B23" s="98" t="s">
        <v>279</v>
      </c>
      <c r="C23" s="21" t="s">
        <v>280</v>
      </c>
      <c r="D23" s="98" t="s">
        <v>130</v>
      </c>
      <c r="E23" s="101">
        <v>900</v>
      </c>
      <c r="F23" s="130">
        <v>20811.64</v>
      </c>
      <c r="G23" s="130">
        <f t="shared" si="0"/>
        <v>18730476</v>
      </c>
    </row>
    <row r="24" spans="1:7" ht="15" customHeight="1">
      <c r="A24" s="10">
        <v>11</v>
      </c>
      <c r="B24" s="98" t="s">
        <v>253</v>
      </c>
      <c r="C24" s="21" t="s">
        <v>281</v>
      </c>
      <c r="D24" s="98" t="s">
        <v>282</v>
      </c>
      <c r="E24" s="101">
        <v>120</v>
      </c>
      <c r="F24" s="130">
        <v>287820.53000000003</v>
      </c>
      <c r="G24" s="130">
        <f t="shared" si="0"/>
        <v>34538463.600000001</v>
      </c>
    </row>
    <row r="25" spans="1:7" ht="15" customHeight="1">
      <c r="A25" s="10">
        <v>12</v>
      </c>
      <c r="B25" s="98" t="s">
        <v>253</v>
      </c>
      <c r="C25" s="21" t="s">
        <v>283</v>
      </c>
      <c r="D25" s="98" t="s">
        <v>282</v>
      </c>
      <c r="E25" s="101">
        <v>20</v>
      </c>
      <c r="F25" s="130">
        <v>265680.49</v>
      </c>
      <c r="G25" s="130">
        <f t="shared" si="0"/>
        <v>5313609.8</v>
      </c>
    </row>
    <row r="26" spans="1:7" ht="15" customHeight="1">
      <c r="A26" s="10">
        <v>13</v>
      </c>
      <c r="B26" s="98" t="s">
        <v>257</v>
      </c>
      <c r="C26" s="21" t="s">
        <v>284</v>
      </c>
      <c r="D26" s="98" t="s">
        <v>109</v>
      </c>
      <c r="E26" s="101">
        <v>4800</v>
      </c>
      <c r="F26" s="130">
        <v>1948.32</v>
      </c>
      <c r="G26" s="130">
        <f t="shared" si="0"/>
        <v>9351936</v>
      </c>
    </row>
    <row r="27" spans="1:7" ht="15" customHeight="1">
      <c r="A27" s="10">
        <v>14</v>
      </c>
      <c r="B27" s="98" t="s">
        <v>255</v>
      </c>
      <c r="C27" s="21" t="s">
        <v>256</v>
      </c>
      <c r="D27" s="98" t="s">
        <v>109</v>
      </c>
      <c r="E27" s="101">
        <v>3600</v>
      </c>
      <c r="F27" s="130">
        <v>1948.32</v>
      </c>
      <c r="G27" s="130">
        <f t="shared" si="0"/>
        <v>7013952</v>
      </c>
    </row>
    <row r="28" spans="1:7" ht="15" customHeight="1">
      <c r="A28" s="10">
        <v>15</v>
      </c>
      <c r="B28" s="98" t="s">
        <v>285</v>
      </c>
      <c r="C28" s="21" t="s">
        <v>286</v>
      </c>
      <c r="D28" s="98" t="s">
        <v>17</v>
      </c>
      <c r="E28" s="101">
        <v>30</v>
      </c>
      <c r="F28" s="130">
        <v>1771.2</v>
      </c>
      <c r="G28" s="130">
        <f t="shared" si="0"/>
        <v>53136</v>
      </c>
    </row>
    <row r="29" spans="1:7" ht="24">
      <c r="A29" s="10">
        <v>16</v>
      </c>
      <c r="B29" s="98" t="s">
        <v>287</v>
      </c>
      <c r="C29" s="21" t="s">
        <v>288</v>
      </c>
      <c r="D29" s="98" t="s">
        <v>109</v>
      </c>
      <c r="E29" s="101">
        <v>720</v>
      </c>
      <c r="F29" s="130">
        <v>2214</v>
      </c>
      <c r="G29" s="130">
        <f t="shared" si="0"/>
        <v>1594080</v>
      </c>
    </row>
    <row r="30" spans="1:7" ht="15" customHeight="1">
      <c r="A30" s="10">
        <v>17</v>
      </c>
      <c r="B30" s="98" t="s">
        <v>289</v>
      </c>
      <c r="C30" s="21" t="s">
        <v>290</v>
      </c>
      <c r="D30" s="98" t="s">
        <v>17</v>
      </c>
      <c r="E30" s="101">
        <v>60</v>
      </c>
      <c r="F30" s="130">
        <v>2656.8</v>
      </c>
      <c r="G30" s="130">
        <f t="shared" si="0"/>
        <v>159408</v>
      </c>
    </row>
    <row r="31" spans="1:7" ht="15" customHeight="1">
      <c r="A31" s="10">
        <v>18</v>
      </c>
      <c r="B31" s="98" t="s">
        <v>291</v>
      </c>
      <c r="C31" s="21" t="s">
        <v>292</v>
      </c>
      <c r="D31" s="98" t="s">
        <v>184</v>
      </c>
      <c r="E31" s="101">
        <v>100</v>
      </c>
      <c r="F31" s="130">
        <v>13284.02</v>
      </c>
      <c r="G31" s="130">
        <f t="shared" si="0"/>
        <v>1328402</v>
      </c>
    </row>
    <row r="32" spans="1:7" ht="24">
      <c r="A32" s="10">
        <v>19</v>
      </c>
      <c r="B32" s="98" t="s">
        <v>293</v>
      </c>
      <c r="C32" s="21" t="s">
        <v>294</v>
      </c>
      <c r="D32" s="98" t="s">
        <v>184</v>
      </c>
      <c r="E32" s="101">
        <v>300</v>
      </c>
      <c r="F32" s="130">
        <v>6199.21</v>
      </c>
      <c r="G32" s="130">
        <f t="shared" si="0"/>
        <v>1859763</v>
      </c>
    </row>
    <row r="33" spans="1:7" ht="15" customHeight="1">
      <c r="A33" s="10">
        <v>20</v>
      </c>
      <c r="B33" s="98" t="s">
        <v>295</v>
      </c>
      <c r="C33" s="21" t="s">
        <v>296</v>
      </c>
      <c r="D33" s="98" t="s">
        <v>109</v>
      </c>
      <c r="E33" s="101">
        <v>200</v>
      </c>
      <c r="F33" s="130">
        <v>1771.2</v>
      </c>
      <c r="G33" s="130">
        <f t="shared" si="0"/>
        <v>354240</v>
      </c>
    </row>
    <row r="34" spans="1:7" ht="15" customHeight="1">
      <c r="A34" s="10">
        <v>21</v>
      </c>
      <c r="B34" s="98" t="s">
        <v>297</v>
      </c>
      <c r="C34" s="21" t="s">
        <v>298</v>
      </c>
      <c r="D34" s="98" t="s">
        <v>8</v>
      </c>
      <c r="E34" s="101">
        <v>1</v>
      </c>
      <c r="F34" s="130">
        <v>2656804.9</v>
      </c>
      <c r="G34" s="130">
        <f t="shared" si="0"/>
        <v>2656804.9</v>
      </c>
    </row>
    <row r="35" spans="1:7" ht="15" customHeight="1">
      <c r="A35" s="506"/>
      <c r="B35" s="507"/>
      <c r="C35" s="508"/>
      <c r="D35" s="507"/>
      <c r="E35" s="509"/>
      <c r="F35" s="510"/>
      <c r="G35" s="510"/>
    </row>
    <row r="36" spans="1:7" ht="15" customHeight="1">
      <c r="A36" s="506"/>
      <c r="B36" s="507"/>
      <c r="C36" s="508"/>
      <c r="D36" s="507"/>
      <c r="E36" s="509"/>
      <c r="F36" s="510"/>
      <c r="G36" s="510"/>
    </row>
    <row r="37" spans="1:7" ht="15" customHeight="1">
      <c r="A37" s="506"/>
      <c r="B37" s="507"/>
      <c r="C37" s="508"/>
      <c r="D37" s="507"/>
      <c r="E37" s="509"/>
      <c r="F37" s="510"/>
      <c r="G37" s="510"/>
    </row>
    <row r="38" spans="1:7" ht="15" customHeight="1">
      <c r="A38" s="506"/>
      <c r="B38" s="507"/>
      <c r="C38" s="508"/>
      <c r="D38" s="507"/>
      <c r="E38" s="509"/>
      <c r="F38" s="510"/>
      <c r="G38" s="510"/>
    </row>
    <row r="39" spans="1:7" ht="15" customHeight="1">
      <c r="A39" s="506"/>
      <c r="B39" s="507"/>
      <c r="C39" s="508"/>
      <c r="D39" s="507"/>
      <c r="E39" s="509"/>
      <c r="F39" s="510"/>
      <c r="G39" s="510"/>
    </row>
    <row r="40" spans="1:7" ht="15" customHeight="1">
      <c r="A40" s="506"/>
      <c r="B40" s="507"/>
      <c r="C40" s="508"/>
      <c r="D40" s="507"/>
      <c r="E40" s="509"/>
      <c r="F40" s="510"/>
      <c r="G40" s="510"/>
    </row>
    <row r="41" spans="1:7" ht="15" customHeight="1">
      <c r="A41" s="506"/>
      <c r="B41" s="507"/>
      <c r="C41" s="508"/>
      <c r="D41" s="507"/>
      <c r="E41" s="509"/>
      <c r="F41" s="510"/>
      <c r="G41" s="510"/>
    </row>
    <row r="42" spans="1:7" ht="15" customHeight="1">
      <c r="A42" s="506"/>
      <c r="B42" s="507"/>
      <c r="C42" s="508"/>
      <c r="D42" s="507"/>
      <c r="E42" s="509"/>
      <c r="F42" s="510"/>
      <c r="G42" s="510"/>
    </row>
    <row r="43" spans="1:7" s="181" customFormat="1" ht="15" customHeight="1">
      <c r="A43" s="176"/>
      <c r="B43" s="177"/>
      <c r="C43" s="178"/>
      <c r="D43" s="177"/>
      <c r="E43" s="179"/>
      <c r="F43" s="180"/>
      <c r="G43" s="180"/>
    </row>
    <row r="44" spans="1:7" ht="15" customHeight="1">
      <c r="A44" s="10"/>
      <c r="B44" s="98"/>
      <c r="C44" s="21"/>
      <c r="D44" s="98"/>
      <c r="E44" s="101"/>
      <c r="F44" s="130"/>
      <c r="G44" s="130"/>
    </row>
    <row r="45" spans="1:7" ht="15" customHeight="1">
      <c r="A45" s="10"/>
      <c r="B45" s="98"/>
      <c r="C45" s="21"/>
      <c r="D45" s="98"/>
      <c r="E45" s="101"/>
      <c r="F45" s="130"/>
      <c r="G45" s="130"/>
    </row>
    <row r="46" spans="1:7" ht="15" customHeight="1">
      <c r="A46" s="98"/>
      <c r="B46" s="163"/>
      <c r="C46" s="174"/>
      <c r="D46" s="163"/>
      <c r="E46" s="101"/>
      <c r="F46" s="130"/>
      <c r="G46" s="130"/>
    </row>
    <row r="47" spans="1:7" ht="15" customHeight="1">
      <c r="A47" s="14"/>
      <c r="B47" s="165"/>
      <c r="C47" s="175"/>
      <c r="D47" s="165"/>
      <c r="E47" s="106"/>
      <c r="F47" s="138"/>
      <c r="G47" s="138"/>
    </row>
    <row r="48" spans="1:7" ht="13.5">
      <c r="A48" s="706" t="s">
        <v>557</v>
      </c>
      <c r="B48" s="706"/>
      <c r="C48" s="706"/>
      <c r="D48" s="706"/>
      <c r="E48" s="706"/>
      <c r="F48" s="706"/>
      <c r="G48" s="166">
        <f>SUM(G14:G47)</f>
        <v>151102192.55000001</v>
      </c>
    </row>
    <row r="49" spans="1:7" ht="13.5">
      <c r="A49" s="116"/>
      <c r="B49" s="116"/>
      <c r="C49" s="116"/>
      <c r="D49" s="116"/>
      <c r="E49" s="116"/>
      <c r="F49" s="116"/>
      <c r="G49" s="511"/>
    </row>
    <row r="50" spans="1:7" ht="13.5">
      <c r="A50" s="116"/>
      <c r="B50" s="116"/>
      <c r="C50" s="116"/>
      <c r="D50" s="116"/>
      <c r="E50" s="116"/>
      <c r="F50" s="116"/>
      <c r="G50" s="511"/>
    </row>
    <row r="51" spans="1:7" ht="13.5">
      <c r="A51" s="116"/>
      <c r="B51" s="116"/>
      <c r="C51" s="116"/>
      <c r="D51" s="116"/>
      <c r="E51" s="116"/>
      <c r="F51" s="116"/>
      <c r="G51" s="511"/>
    </row>
    <row r="52" spans="1:7" ht="13.5">
      <c r="A52" s="116"/>
      <c r="B52" s="116"/>
      <c r="C52" s="116"/>
      <c r="D52" s="116"/>
      <c r="E52" s="116"/>
      <c r="F52" s="116"/>
      <c r="G52" s="511"/>
    </row>
    <row r="53" spans="1:7" ht="13.5">
      <c r="A53" s="116"/>
      <c r="B53" s="116"/>
      <c r="C53" s="116"/>
      <c r="D53" s="116"/>
      <c r="E53" s="116"/>
      <c r="F53" s="116"/>
      <c r="G53" s="511"/>
    </row>
    <row r="54" spans="1:7" ht="13.5">
      <c r="A54" s="116"/>
      <c r="B54" s="116"/>
      <c r="C54" s="116"/>
      <c r="D54" s="116"/>
      <c r="E54" s="116"/>
      <c r="F54" s="116"/>
      <c r="G54" s="511"/>
    </row>
    <row r="55" spans="1:7" ht="13.5">
      <c r="A55" s="116"/>
      <c r="B55" s="116"/>
      <c r="C55" s="116"/>
      <c r="D55" s="116"/>
      <c r="E55" s="116"/>
      <c r="F55" s="116"/>
      <c r="G55" s="511"/>
    </row>
    <row r="56" spans="1:7" ht="13.5">
      <c r="A56" s="116"/>
      <c r="B56" s="116"/>
      <c r="C56" s="116"/>
      <c r="D56" s="116"/>
      <c r="E56" s="116"/>
      <c r="F56" s="116"/>
      <c r="G56" s="511"/>
    </row>
    <row r="57" spans="1:7" ht="13.5">
      <c r="A57" s="116"/>
      <c r="B57" s="116"/>
      <c r="C57" s="116"/>
      <c r="D57" s="116"/>
      <c r="E57" s="116"/>
      <c r="F57" s="116"/>
      <c r="G57" s="511"/>
    </row>
    <row r="58" spans="1:7" ht="13.5">
      <c r="A58" s="116"/>
      <c r="B58" s="116"/>
      <c r="C58" s="116"/>
      <c r="D58" s="116"/>
      <c r="E58" s="116"/>
      <c r="F58" s="116"/>
      <c r="G58" s="511"/>
    </row>
    <row r="60" spans="1:7" s="1" customFormat="1" ht="13.5">
      <c r="A60" s="116"/>
      <c r="B60" s="117"/>
      <c r="C60" s="118"/>
      <c r="D60" s="119"/>
      <c r="E60" s="119"/>
      <c r="F60" s="119"/>
      <c r="G60" s="120"/>
    </row>
    <row r="61" spans="1:7" s="1" customFormat="1" ht="23.25" customHeight="1">
      <c r="A61" s="121"/>
      <c r="B61" s="122"/>
      <c r="C61" s="122"/>
      <c r="D61" s="123"/>
      <c r="E61" s="123"/>
      <c r="F61" s="123"/>
      <c r="G61" s="121"/>
    </row>
    <row r="62" spans="1:7" s="1" customFormat="1" ht="13.5">
      <c r="A62" s="124"/>
      <c r="B62" s="117"/>
      <c r="C62" s="118"/>
      <c r="D62" s="119"/>
      <c r="E62" s="119"/>
      <c r="F62" s="119"/>
      <c r="G62" s="120"/>
    </row>
    <row r="63" spans="1:7" s="1" customFormat="1" ht="13.5">
      <c r="A63" s="116"/>
      <c r="B63" s="117"/>
      <c r="C63" s="118"/>
      <c r="D63" s="119"/>
      <c r="E63" s="119"/>
      <c r="F63" s="119"/>
      <c r="G63" s="120"/>
    </row>
    <row r="64" spans="1:7" ht="13.5">
      <c r="A64" s="706" t="s">
        <v>558</v>
      </c>
      <c r="B64" s="706"/>
      <c r="C64" s="706"/>
      <c r="D64" s="706"/>
      <c r="E64" s="706"/>
      <c r="F64" s="706"/>
      <c r="G64" s="94">
        <f>G48</f>
        <v>151102192.55000001</v>
      </c>
    </row>
    <row r="65" spans="1:7" s="181" customFormat="1" ht="15" customHeight="1">
      <c r="A65" s="182">
        <v>6.2</v>
      </c>
      <c r="B65" s="182"/>
      <c r="C65" s="183" t="s">
        <v>299</v>
      </c>
      <c r="D65" s="182"/>
      <c r="E65" s="184"/>
      <c r="F65" s="185"/>
      <c r="G65" s="185"/>
    </row>
    <row r="66" spans="1:7" ht="15" customHeight="1">
      <c r="A66" s="10">
        <v>1</v>
      </c>
      <c r="B66" s="10" t="s">
        <v>263</v>
      </c>
      <c r="C66" s="21" t="s">
        <v>264</v>
      </c>
      <c r="D66" s="10" t="s">
        <v>130</v>
      </c>
      <c r="E66" s="13">
        <v>1400</v>
      </c>
      <c r="F66" s="130">
        <v>4428.01</v>
      </c>
      <c r="G66" s="130">
        <f t="shared" ref="G66:G78" si="1">E66*F66</f>
        <v>6199214</v>
      </c>
    </row>
    <row r="67" spans="1:7" ht="15" customHeight="1">
      <c r="A67" s="98">
        <v>2</v>
      </c>
      <c r="B67" s="98" t="s">
        <v>265</v>
      </c>
      <c r="C67" s="21" t="s">
        <v>266</v>
      </c>
      <c r="D67" s="98" t="s">
        <v>130</v>
      </c>
      <c r="E67" s="101">
        <v>700</v>
      </c>
      <c r="F67" s="130">
        <v>5313.61</v>
      </c>
      <c r="G67" s="130">
        <f t="shared" si="1"/>
        <v>3719527</v>
      </c>
    </row>
    <row r="68" spans="1:7" ht="15" customHeight="1">
      <c r="A68" s="10">
        <v>3</v>
      </c>
      <c r="B68" s="98" t="s">
        <v>267</v>
      </c>
      <c r="C68" s="21" t="s">
        <v>268</v>
      </c>
      <c r="D68" s="98" t="s">
        <v>130</v>
      </c>
      <c r="E68" s="101">
        <v>700</v>
      </c>
      <c r="F68" s="130">
        <v>3542.41</v>
      </c>
      <c r="G68" s="130">
        <f t="shared" si="1"/>
        <v>2479687</v>
      </c>
    </row>
    <row r="69" spans="1:7" ht="15" customHeight="1">
      <c r="A69" s="10">
        <v>4</v>
      </c>
      <c r="B69" s="98" t="s">
        <v>269</v>
      </c>
      <c r="C69" s="21" t="s">
        <v>270</v>
      </c>
      <c r="D69" s="98" t="s">
        <v>271</v>
      </c>
      <c r="E69" s="101">
        <v>467</v>
      </c>
      <c r="F69" s="130">
        <v>2214</v>
      </c>
      <c r="G69" s="130">
        <f t="shared" si="1"/>
        <v>1033938</v>
      </c>
    </row>
    <row r="70" spans="1:7" ht="15" customHeight="1">
      <c r="A70" s="10">
        <v>5</v>
      </c>
      <c r="B70" s="98" t="s">
        <v>275</v>
      </c>
      <c r="C70" s="21" t="s">
        <v>300</v>
      </c>
      <c r="D70" s="98" t="s">
        <v>130</v>
      </c>
      <c r="E70" s="101">
        <v>2300</v>
      </c>
      <c r="F70" s="130">
        <v>23911.24</v>
      </c>
      <c r="G70" s="130">
        <f t="shared" si="1"/>
        <v>54995852</v>
      </c>
    </row>
    <row r="71" spans="1:7" ht="15" customHeight="1">
      <c r="A71" s="10">
        <v>6</v>
      </c>
      <c r="B71" s="98" t="s">
        <v>279</v>
      </c>
      <c r="C71" s="21" t="s">
        <v>301</v>
      </c>
      <c r="D71" s="98" t="s">
        <v>130</v>
      </c>
      <c r="E71" s="101">
        <v>380</v>
      </c>
      <c r="F71" s="130">
        <v>20811.64</v>
      </c>
      <c r="G71" s="130">
        <f t="shared" si="1"/>
        <v>7908423.2000000002</v>
      </c>
    </row>
    <row r="72" spans="1:7" ht="15" customHeight="1">
      <c r="A72" s="10">
        <v>7</v>
      </c>
      <c r="B72" s="98" t="s">
        <v>253</v>
      </c>
      <c r="C72" s="21" t="s">
        <v>281</v>
      </c>
      <c r="D72" s="98" t="s">
        <v>282</v>
      </c>
      <c r="E72" s="101">
        <v>190</v>
      </c>
      <c r="F72" s="130">
        <v>287820.53000000003</v>
      </c>
      <c r="G72" s="130">
        <f t="shared" si="1"/>
        <v>54685900.700000003</v>
      </c>
    </row>
    <row r="73" spans="1:7" ht="15" customHeight="1">
      <c r="A73" s="10">
        <v>8</v>
      </c>
      <c r="B73" s="98" t="s">
        <v>291</v>
      </c>
      <c r="C73" s="21" t="s">
        <v>292</v>
      </c>
      <c r="D73" s="98" t="s">
        <v>130</v>
      </c>
      <c r="E73" s="101">
        <v>600</v>
      </c>
      <c r="F73" s="130">
        <v>13284.02</v>
      </c>
      <c r="G73" s="130">
        <f t="shared" si="1"/>
        <v>7970412</v>
      </c>
    </row>
    <row r="74" spans="1:7" ht="24.75" customHeight="1">
      <c r="A74" s="10">
        <v>9</v>
      </c>
      <c r="B74" s="98" t="s">
        <v>293</v>
      </c>
      <c r="C74" s="21" t="s">
        <v>302</v>
      </c>
      <c r="D74" s="98" t="s">
        <v>130</v>
      </c>
      <c r="E74" s="101">
        <v>100</v>
      </c>
      <c r="F74" s="130">
        <v>15940.83</v>
      </c>
      <c r="G74" s="130">
        <f t="shared" si="1"/>
        <v>1594083</v>
      </c>
    </row>
    <row r="75" spans="1:7" ht="15" customHeight="1">
      <c r="A75" s="10">
        <v>10</v>
      </c>
      <c r="B75" s="98" t="s">
        <v>295</v>
      </c>
      <c r="C75" s="21" t="s">
        <v>296</v>
      </c>
      <c r="D75" s="98" t="s">
        <v>109</v>
      </c>
      <c r="E75" s="101">
        <v>500</v>
      </c>
      <c r="F75" s="130">
        <v>1771.2</v>
      </c>
      <c r="G75" s="130">
        <f t="shared" si="1"/>
        <v>885600</v>
      </c>
    </row>
    <row r="76" spans="1:7" ht="15" customHeight="1">
      <c r="A76" s="10">
        <v>11</v>
      </c>
      <c r="B76" s="98" t="s">
        <v>257</v>
      </c>
      <c r="C76" s="21" t="s">
        <v>284</v>
      </c>
      <c r="D76" s="98" t="s">
        <v>109</v>
      </c>
      <c r="E76" s="101">
        <v>6545</v>
      </c>
      <c r="F76" s="130">
        <v>1948.32</v>
      </c>
      <c r="G76" s="130">
        <f t="shared" si="1"/>
        <v>12751754.4</v>
      </c>
    </row>
    <row r="77" spans="1:7" ht="15" customHeight="1">
      <c r="A77" s="10">
        <v>12</v>
      </c>
      <c r="B77" s="98" t="s">
        <v>255</v>
      </c>
      <c r="C77" s="21" t="s">
        <v>256</v>
      </c>
      <c r="D77" s="98" t="s">
        <v>109</v>
      </c>
      <c r="E77" s="101">
        <v>5355</v>
      </c>
      <c r="F77" s="130">
        <v>1948.32</v>
      </c>
      <c r="G77" s="130">
        <f t="shared" si="1"/>
        <v>10433253.6</v>
      </c>
    </row>
    <row r="78" spans="1:7" ht="15" customHeight="1">
      <c r="A78" s="10">
        <v>13</v>
      </c>
      <c r="B78" s="98" t="s">
        <v>285</v>
      </c>
      <c r="C78" s="21" t="s">
        <v>303</v>
      </c>
      <c r="D78" s="98" t="s">
        <v>17</v>
      </c>
      <c r="E78" s="101">
        <v>200</v>
      </c>
      <c r="F78" s="130">
        <v>2656.8</v>
      </c>
      <c r="G78" s="130">
        <f t="shared" si="1"/>
        <v>531360</v>
      </c>
    </row>
    <row r="79" spans="1:7" s="181" customFormat="1" ht="15" customHeight="1">
      <c r="A79" s="176"/>
      <c r="B79" s="177"/>
      <c r="C79" s="178" t="s">
        <v>304</v>
      </c>
      <c r="D79" s="177"/>
      <c r="E79" s="179"/>
      <c r="F79" s="180"/>
      <c r="G79" s="180"/>
    </row>
    <row r="80" spans="1:7" ht="15" customHeight="1">
      <c r="A80" s="10">
        <v>14</v>
      </c>
      <c r="B80" s="98" t="s">
        <v>275</v>
      </c>
      <c r="C80" s="21" t="s">
        <v>305</v>
      </c>
      <c r="D80" s="98" t="s">
        <v>130</v>
      </c>
      <c r="E80" s="101">
        <v>135</v>
      </c>
      <c r="F80" s="130">
        <v>23025.64</v>
      </c>
      <c r="G80" s="130">
        <f t="shared" ref="G80:G85" si="2">E80*F80</f>
        <v>3108461.4</v>
      </c>
    </row>
    <row r="81" spans="1:7" ht="15" customHeight="1">
      <c r="A81" s="10">
        <v>15</v>
      </c>
      <c r="B81" s="98" t="s">
        <v>279</v>
      </c>
      <c r="C81" s="21" t="s">
        <v>306</v>
      </c>
      <c r="D81" s="98" t="s">
        <v>130</v>
      </c>
      <c r="E81" s="101">
        <v>30</v>
      </c>
      <c r="F81" s="130">
        <v>20811.64</v>
      </c>
      <c r="G81" s="130">
        <f t="shared" si="2"/>
        <v>624349.19999999995</v>
      </c>
    </row>
    <row r="82" spans="1:7" ht="15" customHeight="1">
      <c r="A82" s="10">
        <v>16</v>
      </c>
      <c r="B82" s="98" t="s">
        <v>253</v>
      </c>
      <c r="C82" s="21" t="s">
        <v>281</v>
      </c>
      <c r="D82" s="98" t="s">
        <v>282</v>
      </c>
      <c r="E82" s="101">
        <v>5</v>
      </c>
      <c r="F82" s="130">
        <v>287820.53000000003</v>
      </c>
      <c r="G82" s="130">
        <f t="shared" si="2"/>
        <v>1439102.65</v>
      </c>
    </row>
    <row r="83" spans="1:7" ht="15" customHeight="1">
      <c r="A83" s="10">
        <v>17</v>
      </c>
      <c r="B83" s="98" t="s">
        <v>307</v>
      </c>
      <c r="C83" s="21" t="s">
        <v>308</v>
      </c>
      <c r="D83" s="98" t="s">
        <v>184</v>
      </c>
      <c r="E83" s="101">
        <v>900</v>
      </c>
      <c r="F83" s="130">
        <v>17712.03</v>
      </c>
      <c r="G83" s="130">
        <f t="shared" si="2"/>
        <v>15940827</v>
      </c>
    </row>
    <row r="84" spans="1:7" ht="15" customHeight="1">
      <c r="A84" s="10">
        <v>18</v>
      </c>
      <c r="B84" s="98" t="s">
        <v>309</v>
      </c>
      <c r="C84" s="21" t="s">
        <v>310</v>
      </c>
      <c r="D84" s="98" t="s">
        <v>311</v>
      </c>
      <c r="E84" s="101">
        <v>720</v>
      </c>
      <c r="F84" s="130">
        <v>708.48</v>
      </c>
      <c r="G84" s="130">
        <f t="shared" si="2"/>
        <v>510105.59999999998</v>
      </c>
    </row>
    <row r="85" spans="1:7" ht="15" customHeight="1">
      <c r="A85" s="10">
        <v>19</v>
      </c>
      <c r="B85" s="98" t="s">
        <v>297</v>
      </c>
      <c r="C85" s="21" t="s">
        <v>298</v>
      </c>
      <c r="D85" s="98" t="s">
        <v>8</v>
      </c>
      <c r="E85" s="101">
        <v>1</v>
      </c>
      <c r="F85" s="130">
        <v>1771203.27</v>
      </c>
      <c r="G85" s="130">
        <f t="shared" si="2"/>
        <v>1771203.27</v>
      </c>
    </row>
    <row r="86" spans="1:7" ht="15" customHeight="1">
      <c r="A86" s="506"/>
      <c r="B86" s="507"/>
      <c r="C86" s="508"/>
      <c r="D86" s="507"/>
      <c r="E86" s="509"/>
      <c r="F86" s="510"/>
      <c r="G86" s="510"/>
    </row>
    <row r="87" spans="1:7" ht="15" customHeight="1">
      <c r="A87" s="506"/>
      <c r="B87" s="507"/>
      <c r="C87" s="508"/>
      <c r="D87" s="507"/>
      <c r="E87" s="509"/>
      <c r="F87" s="510"/>
      <c r="G87" s="510"/>
    </row>
    <row r="88" spans="1:7" ht="15" customHeight="1">
      <c r="A88" s="506"/>
      <c r="B88" s="507"/>
      <c r="C88" s="508"/>
      <c r="D88" s="507"/>
      <c r="E88" s="509"/>
      <c r="F88" s="510"/>
      <c r="G88" s="510"/>
    </row>
    <row r="89" spans="1:7" ht="15" customHeight="1">
      <c r="A89" s="506"/>
      <c r="B89" s="507"/>
      <c r="C89" s="508"/>
      <c r="D89" s="507"/>
      <c r="E89" s="509"/>
      <c r="F89" s="510"/>
      <c r="G89" s="510"/>
    </row>
    <row r="90" spans="1:7" ht="15" customHeight="1">
      <c r="A90" s="506"/>
      <c r="B90" s="507"/>
      <c r="C90" s="508"/>
      <c r="D90" s="507"/>
      <c r="E90" s="509"/>
      <c r="F90" s="510"/>
      <c r="G90" s="510"/>
    </row>
    <row r="91" spans="1:7" ht="15" customHeight="1">
      <c r="A91" s="506"/>
      <c r="B91" s="507"/>
      <c r="C91" s="508"/>
      <c r="D91" s="507"/>
      <c r="E91" s="509"/>
      <c r="F91" s="510"/>
      <c r="G91" s="510"/>
    </row>
    <row r="92" spans="1:7" ht="15" customHeight="1">
      <c r="A92" s="506"/>
      <c r="B92" s="507"/>
      <c r="C92" s="508"/>
      <c r="D92" s="507"/>
      <c r="E92" s="509"/>
      <c r="F92" s="510"/>
      <c r="G92" s="510"/>
    </row>
    <row r="93" spans="1:7" ht="15" customHeight="1">
      <c r="A93" s="506"/>
      <c r="B93" s="507"/>
      <c r="C93" s="508"/>
      <c r="D93" s="507"/>
      <c r="E93" s="509"/>
      <c r="F93" s="510"/>
      <c r="G93" s="510"/>
    </row>
    <row r="94" spans="1:7" ht="15" customHeight="1">
      <c r="A94" s="506"/>
      <c r="B94" s="507"/>
      <c r="C94" s="508"/>
      <c r="D94" s="507"/>
      <c r="E94" s="509"/>
      <c r="F94" s="510"/>
      <c r="G94" s="510"/>
    </row>
    <row r="95" spans="1:7" ht="15" customHeight="1">
      <c r="A95" s="10"/>
      <c r="B95" s="98"/>
      <c r="C95" s="21"/>
      <c r="D95" s="98"/>
      <c r="E95" s="101"/>
      <c r="F95" s="130"/>
      <c r="G95" s="130"/>
    </row>
    <row r="96" spans="1:7" ht="15" customHeight="1">
      <c r="A96" s="10"/>
      <c r="B96" s="163"/>
      <c r="C96" s="173"/>
      <c r="D96" s="163"/>
      <c r="E96" s="101"/>
      <c r="F96" s="130"/>
      <c r="G96" s="130"/>
    </row>
    <row r="97" spans="1:7" ht="15" customHeight="1">
      <c r="A97" s="98"/>
      <c r="B97" s="163"/>
      <c r="C97" s="174"/>
      <c r="D97" s="163"/>
      <c r="E97" s="101"/>
      <c r="F97" s="130"/>
      <c r="G97" s="130"/>
    </row>
    <row r="98" spans="1:7" ht="15" customHeight="1">
      <c r="A98" s="14"/>
      <c r="B98" s="165"/>
      <c r="C98" s="175"/>
      <c r="D98" s="165"/>
      <c r="E98" s="106"/>
      <c r="F98" s="138"/>
      <c r="G98" s="138"/>
    </row>
    <row r="99" spans="1:7" ht="13.5">
      <c r="A99" s="706" t="s">
        <v>557</v>
      </c>
      <c r="B99" s="706"/>
      <c r="C99" s="706"/>
      <c r="D99" s="706"/>
      <c r="E99" s="706"/>
      <c r="F99" s="706"/>
      <c r="G99" s="166">
        <f>SUM(G64:G98)</f>
        <v>339685246.56999999</v>
      </c>
    </row>
    <row r="110" spans="1:7" ht="13.5">
      <c r="A110" s="116"/>
      <c r="B110" s="117"/>
      <c r="C110" s="118"/>
      <c r="D110" s="119"/>
      <c r="E110" s="119"/>
      <c r="F110" s="119"/>
      <c r="G110" s="120"/>
    </row>
    <row r="111" spans="1:7" s="1" customFormat="1" ht="44.25" customHeight="1">
      <c r="A111" s="121"/>
      <c r="B111" s="122"/>
      <c r="C111" s="122"/>
      <c r="D111" s="123"/>
      <c r="E111" s="123"/>
      <c r="F111" s="123"/>
      <c r="G111" s="121"/>
    </row>
    <row r="112" spans="1:7" ht="13.5">
      <c r="A112" s="124"/>
      <c r="B112" s="117"/>
      <c r="C112" s="118"/>
      <c r="D112" s="119"/>
      <c r="E112" s="119"/>
      <c r="F112" s="119"/>
      <c r="G112" s="120"/>
    </row>
    <row r="113" spans="1:7" ht="13.5">
      <c r="A113" s="116"/>
      <c r="B113" s="117"/>
      <c r="C113" s="118"/>
      <c r="D113" s="119"/>
      <c r="E113" s="119"/>
      <c r="F113" s="119"/>
      <c r="G113" s="120"/>
    </row>
    <row r="114" spans="1:7" ht="15" customHeight="1">
      <c r="A114" s="706" t="s">
        <v>558</v>
      </c>
      <c r="B114" s="706"/>
      <c r="C114" s="706"/>
      <c r="D114" s="706"/>
      <c r="E114" s="706"/>
      <c r="F114" s="706"/>
      <c r="G114" s="94">
        <f>G99</f>
        <v>339685246.56999999</v>
      </c>
    </row>
    <row r="115" spans="1:7" s="181" customFormat="1" ht="15" customHeight="1">
      <c r="A115" s="182">
        <v>6.4</v>
      </c>
      <c r="B115" s="182"/>
      <c r="C115" s="186" t="s">
        <v>312</v>
      </c>
      <c r="D115" s="182"/>
      <c r="E115" s="184"/>
      <c r="F115" s="185"/>
      <c r="G115" s="185"/>
    </row>
    <row r="116" spans="1:7" ht="15" customHeight="1">
      <c r="A116" s="10"/>
      <c r="B116" s="10"/>
      <c r="C116" s="178" t="s">
        <v>313</v>
      </c>
      <c r="D116" s="10"/>
      <c r="E116" s="13"/>
      <c r="F116" s="130"/>
      <c r="G116" s="130"/>
    </row>
    <row r="117" spans="1:7" ht="71.25">
      <c r="A117" s="98">
        <v>1</v>
      </c>
      <c r="B117" s="98" t="s">
        <v>314</v>
      </c>
      <c r="C117" s="21" t="s">
        <v>315</v>
      </c>
      <c r="D117" s="98" t="s">
        <v>8</v>
      </c>
      <c r="E117" s="101">
        <v>1</v>
      </c>
      <c r="F117" s="130">
        <v>1771203.27</v>
      </c>
      <c r="G117" s="130">
        <f>E117*F117</f>
        <v>1771203.27</v>
      </c>
    </row>
    <row r="118" spans="1:7" s="181" customFormat="1" ht="15" customHeight="1">
      <c r="A118" s="176" t="s">
        <v>316</v>
      </c>
      <c r="B118" s="177"/>
      <c r="C118" s="178" t="s">
        <v>317</v>
      </c>
      <c r="D118" s="177"/>
      <c r="E118" s="179"/>
      <c r="F118" s="180"/>
      <c r="G118" s="180"/>
    </row>
    <row r="119" spans="1:7" s="181" customFormat="1" ht="15" customHeight="1">
      <c r="A119" s="176" t="s">
        <v>316</v>
      </c>
      <c r="B119" s="177"/>
      <c r="C119" s="178" t="s">
        <v>318</v>
      </c>
      <c r="D119" s="177"/>
      <c r="E119" s="179"/>
      <c r="F119" s="180"/>
      <c r="G119" s="180"/>
    </row>
    <row r="120" spans="1:7" s="181" customFormat="1" ht="15" customHeight="1">
      <c r="A120" s="176" t="s">
        <v>316</v>
      </c>
      <c r="B120" s="177"/>
      <c r="C120" s="178" t="s">
        <v>319</v>
      </c>
      <c r="D120" s="177"/>
      <c r="E120" s="179"/>
      <c r="F120" s="180"/>
      <c r="G120" s="180"/>
    </row>
    <row r="121" spans="1:7" ht="15" customHeight="1">
      <c r="A121" s="10">
        <v>2</v>
      </c>
      <c r="B121" s="98" t="s">
        <v>107</v>
      </c>
      <c r="C121" s="21" t="s">
        <v>319</v>
      </c>
      <c r="D121" s="98" t="s">
        <v>320</v>
      </c>
      <c r="E121" s="101">
        <v>100</v>
      </c>
      <c r="F121" s="130">
        <v>442.8</v>
      </c>
      <c r="G121" s="130">
        <f>E121*F121</f>
        <v>44280</v>
      </c>
    </row>
    <row r="122" spans="1:7" ht="15" customHeight="1">
      <c r="A122" s="10" t="s">
        <v>316</v>
      </c>
      <c r="B122" s="98"/>
      <c r="C122" s="21" t="s">
        <v>321</v>
      </c>
      <c r="D122" s="98"/>
      <c r="E122" s="101"/>
      <c r="F122" s="130"/>
      <c r="G122" s="130"/>
    </row>
    <row r="123" spans="1:7" ht="24">
      <c r="A123" s="10">
        <v>3</v>
      </c>
      <c r="B123" s="98" t="s">
        <v>178</v>
      </c>
      <c r="C123" s="21" t="s">
        <v>322</v>
      </c>
      <c r="D123" s="98" t="s">
        <v>323</v>
      </c>
      <c r="E123" s="101">
        <v>210</v>
      </c>
      <c r="F123" s="130">
        <v>3099.61</v>
      </c>
      <c r="G123" s="130">
        <f t="shared" ref="G123:G133" si="3">E123*F123</f>
        <v>650918.1</v>
      </c>
    </row>
    <row r="124" spans="1:7" ht="15" customHeight="1">
      <c r="A124" s="10">
        <v>4</v>
      </c>
      <c r="B124" s="98" t="s">
        <v>324</v>
      </c>
      <c r="C124" s="21" t="s">
        <v>325</v>
      </c>
      <c r="D124" s="98" t="s">
        <v>323</v>
      </c>
      <c r="E124" s="101">
        <v>25</v>
      </c>
      <c r="F124" s="130">
        <v>3985.21</v>
      </c>
      <c r="G124" s="130">
        <f t="shared" si="3"/>
        <v>99630.25</v>
      </c>
    </row>
    <row r="125" spans="1:7" ht="15" customHeight="1">
      <c r="A125" s="10">
        <v>5</v>
      </c>
      <c r="B125" s="98" t="s">
        <v>172</v>
      </c>
      <c r="C125" s="21" t="s">
        <v>326</v>
      </c>
      <c r="D125" s="98" t="s">
        <v>323</v>
      </c>
      <c r="E125" s="101">
        <v>20</v>
      </c>
      <c r="F125" s="130">
        <v>7084.81</v>
      </c>
      <c r="G125" s="130">
        <f t="shared" si="3"/>
        <v>141696.20000000001</v>
      </c>
    </row>
    <row r="126" spans="1:7" ht="15" customHeight="1">
      <c r="A126" s="10">
        <v>6</v>
      </c>
      <c r="B126" s="98" t="s">
        <v>176</v>
      </c>
      <c r="C126" s="21" t="s">
        <v>177</v>
      </c>
      <c r="D126" s="98" t="s">
        <v>327</v>
      </c>
      <c r="E126" s="101">
        <v>1</v>
      </c>
      <c r="F126" s="130">
        <v>442800.82</v>
      </c>
      <c r="G126" s="130">
        <f t="shared" si="3"/>
        <v>442800.82</v>
      </c>
    </row>
    <row r="127" spans="1:7" ht="24">
      <c r="A127" s="10">
        <v>7</v>
      </c>
      <c r="B127" s="98" t="s">
        <v>328</v>
      </c>
      <c r="C127" s="21" t="s">
        <v>329</v>
      </c>
      <c r="D127" s="98" t="s">
        <v>327</v>
      </c>
      <c r="E127" s="101">
        <v>1</v>
      </c>
      <c r="F127" s="130">
        <v>1328402.45</v>
      </c>
      <c r="G127" s="130">
        <f t="shared" si="3"/>
        <v>1328402.45</v>
      </c>
    </row>
    <row r="128" spans="1:7" ht="15" customHeight="1">
      <c r="A128" s="10">
        <v>8</v>
      </c>
      <c r="B128" s="98" t="s">
        <v>297</v>
      </c>
      <c r="C128" s="21" t="s">
        <v>298</v>
      </c>
      <c r="D128" s="98" t="s">
        <v>327</v>
      </c>
      <c r="E128" s="101">
        <v>1</v>
      </c>
      <c r="F128" s="130">
        <v>1771302.34</v>
      </c>
      <c r="G128" s="130">
        <f t="shared" si="3"/>
        <v>1771302.34</v>
      </c>
    </row>
    <row r="129" spans="1:7" ht="15" customHeight="1">
      <c r="A129" s="10" t="s">
        <v>316</v>
      </c>
      <c r="B129" s="98"/>
      <c r="C129" s="178" t="s">
        <v>330</v>
      </c>
      <c r="D129" s="98"/>
      <c r="E129" s="101"/>
      <c r="F129" s="130"/>
      <c r="G129" s="130">
        <f t="shared" si="3"/>
        <v>0</v>
      </c>
    </row>
    <row r="130" spans="1:7" ht="24">
      <c r="A130" s="10">
        <v>9</v>
      </c>
      <c r="B130" s="98" t="s">
        <v>275</v>
      </c>
      <c r="C130" s="21" t="s">
        <v>331</v>
      </c>
      <c r="D130" s="98" t="s">
        <v>323</v>
      </c>
      <c r="E130" s="101">
        <v>23.5</v>
      </c>
      <c r="F130" s="130">
        <v>26568.05</v>
      </c>
      <c r="G130" s="130">
        <f t="shared" si="3"/>
        <v>624349.18000000005</v>
      </c>
    </row>
    <row r="131" spans="1:7" ht="21.75" customHeight="1">
      <c r="A131" s="10">
        <v>10</v>
      </c>
      <c r="B131" s="98" t="s">
        <v>277</v>
      </c>
      <c r="C131" s="21" t="s">
        <v>332</v>
      </c>
      <c r="D131" s="98" t="s">
        <v>323</v>
      </c>
      <c r="E131" s="101">
        <v>24.5</v>
      </c>
      <c r="F131" s="130">
        <v>26568.05</v>
      </c>
      <c r="G131" s="130">
        <f t="shared" si="3"/>
        <v>650917.23</v>
      </c>
    </row>
    <row r="132" spans="1:7" ht="31.5" customHeight="1">
      <c r="A132" s="10">
        <v>11</v>
      </c>
      <c r="B132" s="98" t="s">
        <v>333</v>
      </c>
      <c r="C132" s="21" t="s">
        <v>334</v>
      </c>
      <c r="D132" s="98" t="s">
        <v>323</v>
      </c>
      <c r="E132" s="101">
        <v>7</v>
      </c>
      <c r="F132" s="130">
        <v>21254.44</v>
      </c>
      <c r="G132" s="130">
        <f t="shared" si="3"/>
        <v>148781.07999999999</v>
      </c>
    </row>
    <row r="133" spans="1:7" ht="27" customHeight="1">
      <c r="A133" s="10">
        <v>12</v>
      </c>
      <c r="B133" s="98" t="s">
        <v>335</v>
      </c>
      <c r="C133" s="21" t="s">
        <v>336</v>
      </c>
      <c r="D133" s="98" t="s">
        <v>323</v>
      </c>
      <c r="E133" s="101">
        <v>8</v>
      </c>
      <c r="F133" s="130">
        <v>24354.04</v>
      </c>
      <c r="G133" s="130">
        <f t="shared" si="3"/>
        <v>194832.32</v>
      </c>
    </row>
    <row r="134" spans="1:7" ht="15" customHeight="1">
      <c r="A134" s="706" t="s">
        <v>557</v>
      </c>
      <c r="B134" s="706"/>
      <c r="C134" s="706"/>
      <c r="D134" s="706"/>
      <c r="E134" s="706"/>
      <c r="F134" s="706"/>
      <c r="G134" s="166">
        <f>SUM(G114:G133)</f>
        <v>347554359.81</v>
      </c>
    </row>
    <row r="135" spans="1:7" ht="15" customHeight="1">
      <c r="A135" s="116"/>
      <c r="B135" s="116"/>
      <c r="C135" s="116"/>
      <c r="D135" s="116"/>
      <c r="E135" s="116"/>
      <c r="F135" s="116"/>
      <c r="G135" s="511"/>
    </row>
    <row r="136" spans="1:7" ht="15" customHeight="1">
      <c r="A136" s="116"/>
      <c r="B136" s="116"/>
      <c r="C136" s="116"/>
      <c r="D136" s="116"/>
      <c r="E136" s="116"/>
      <c r="F136" s="116"/>
      <c r="G136" s="511"/>
    </row>
    <row r="137" spans="1:7" ht="15" customHeight="1">
      <c r="A137" s="116"/>
      <c r="B137" s="116"/>
      <c r="C137" s="116"/>
      <c r="D137" s="116"/>
      <c r="E137" s="116"/>
      <c r="F137" s="116"/>
      <c r="G137" s="511"/>
    </row>
    <row r="138" spans="1:7" ht="15" customHeight="1">
      <c r="A138" s="116"/>
      <c r="B138" s="116"/>
      <c r="C138" s="116"/>
      <c r="D138" s="116"/>
      <c r="E138" s="116"/>
      <c r="F138" s="116"/>
      <c r="G138" s="511"/>
    </row>
    <row r="139" spans="1:7" ht="15" customHeight="1">
      <c r="A139" s="116"/>
      <c r="B139" s="116"/>
      <c r="C139" s="116"/>
      <c r="D139" s="116"/>
      <c r="E139" s="116"/>
      <c r="F139" s="116"/>
      <c r="G139" s="511"/>
    </row>
    <row r="140" spans="1:7" ht="15" customHeight="1">
      <c r="A140" s="116"/>
      <c r="B140" s="116"/>
      <c r="C140" s="116"/>
      <c r="D140" s="116"/>
      <c r="E140" s="116"/>
      <c r="F140" s="116"/>
      <c r="G140" s="511"/>
    </row>
    <row r="141" spans="1:7" ht="15" customHeight="1">
      <c r="A141" s="116"/>
      <c r="B141" s="116"/>
      <c r="C141" s="116"/>
      <c r="D141" s="116"/>
      <c r="E141" s="116"/>
      <c r="F141" s="116"/>
      <c r="G141" s="511"/>
    </row>
    <row r="142" spans="1:7" ht="15" customHeight="1">
      <c r="A142" s="116"/>
      <c r="B142" s="116"/>
      <c r="C142" s="116"/>
      <c r="D142" s="116"/>
      <c r="E142" s="116"/>
      <c r="F142" s="116"/>
      <c r="G142" s="511"/>
    </row>
    <row r="143" spans="1:7" ht="15" customHeight="1">
      <c r="A143" s="116"/>
      <c r="B143" s="116"/>
      <c r="C143" s="116"/>
      <c r="D143" s="116"/>
      <c r="E143" s="116"/>
      <c r="F143" s="116"/>
      <c r="G143" s="511"/>
    </row>
    <row r="144" spans="1:7" ht="15" customHeight="1">
      <c r="A144" s="116"/>
      <c r="B144" s="116"/>
      <c r="C144" s="116"/>
      <c r="D144" s="116"/>
      <c r="E144" s="116"/>
      <c r="F144" s="116"/>
      <c r="G144" s="511"/>
    </row>
    <row r="145" spans="1:7" ht="15" customHeight="1">
      <c r="A145" s="116"/>
      <c r="B145" s="116"/>
      <c r="C145" s="116"/>
      <c r="D145" s="116"/>
      <c r="E145" s="116"/>
      <c r="F145" s="116"/>
      <c r="G145" s="511"/>
    </row>
    <row r="146" spans="1:7" ht="15" customHeight="1">
      <c r="A146" s="116"/>
      <c r="B146" s="116"/>
      <c r="C146" s="116"/>
      <c r="D146" s="116"/>
      <c r="E146" s="116"/>
      <c r="F146" s="116"/>
      <c r="G146" s="511"/>
    </row>
    <row r="147" spans="1:7" ht="15" customHeight="1">
      <c r="A147" s="116"/>
      <c r="B147" s="116"/>
      <c r="C147" s="116"/>
      <c r="D147" s="116"/>
      <c r="E147" s="116"/>
      <c r="F147" s="116"/>
      <c r="G147" s="511"/>
    </row>
    <row r="148" spans="1:7" ht="15" customHeight="1">
      <c r="A148" s="116"/>
      <c r="B148" s="116"/>
      <c r="C148" s="116"/>
      <c r="D148" s="116"/>
      <c r="E148" s="116"/>
      <c r="F148" s="116"/>
      <c r="G148" s="511"/>
    </row>
    <row r="149" spans="1:7" ht="15" customHeight="1">
      <c r="A149" s="116"/>
      <c r="B149" s="116"/>
      <c r="C149" s="116"/>
      <c r="D149" s="116"/>
      <c r="E149" s="116"/>
      <c r="F149" s="116"/>
      <c r="G149" s="511"/>
    </row>
    <row r="150" spans="1:7" ht="15" customHeight="1">
      <c r="A150" s="116"/>
      <c r="B150" s="116"/>
      <c r="C150" s="116"/>
      <c r="D150" s="116"/>
      <c r="E150" s="116"/>
      <c r="F150" s="116"/>
      <c r="G150" s="511"/>
    </row>
    <row r="151" spans="1:7" ht="13.5">
      <c r="A151" s="116"/>
      <c r="B151" s="117"/>
      <c r="C151" s="118"/>
      <c r="D151" s="119"/>
      <c r="E151" s="119"/>
      <c r="F151" s="119"/>
      <c r="G151" s="120"/>
    </row>
    <row r="152" spans="1:7" s="1" customFormat="1" ht="19.5" customHeight="1">
      <c r="A152" s="121"/>
      <c r="B152" s="122"/>
      <c r="C152" s="122"/>
      <c r="D152" s="123"/>
      <c r="E152" s="123"/>
      <c r="F152" s="123"/>
      <c r="G152" s="121"/>
    </row>
    <row r="153" spans="1:7" ht="13.5">
      <c r="A153" s="124"/>
      <c r="B153" s="117"/>
      <c r="C153" s="118"/>
      <c r="D153" s="119"/>
      <c r="E153" s="119"/>
      <c r="F153" s="119"/>
      <c r="G153" s="120"/>
    </row>
    <row r="154" spans="1:7" ht="13.5">
      <c r="A154" s="116"/>
      <c r="B154" s="117"/>
      <c r="C154" s="118"/>
      <c r="D154" s="119"/>
      <c r="E154" s="119"/>
      <c r="F154" s="119"/>
      <c r="G154" s="120"/>
    </row>
    <row r="155" spans="1:7" ht="15" customHeight="1">
      <c r="A155" s="706" t="s">
        <v>558</v>
      </c>
      <c r="B155" s="706"/>
      <c r="C155" s="706"/>
      <c r="D155" s="706"/>
      <c r="E155" s="706"/>
      <c r="F155" s="706"/>
      <c r="G155" s="94">
        <f>G134</f>
        <v>347554359.81</v>
      </c>
    </row>
    <row r="156" spans="1:7" ht="15" customHeight="1">
      <c r="A156" s="10" t="s">
        <v>316</v>
      </c>
      <c r="B156" s="98"/>
      <c r="C156" s="178" t="s">
        <v>337</v>
      </c>
      <c r="D156" s="98"/>
      <c r="E156" s="101"/>
      <c r="F156" s="130"/>
      <c r="G156" s="130"/>
    </row>
    <row r="157" spans="1:7" ht="24">
      <c r="A157" s="10">
        <v>13</v>
      </c>
      <c r="B157" s="98" t="s">
        <v>255</v>
      </c>
      <c r="C157" s="21" t="s">
        <v>338</v>
      </c>
      <c r="D157" s="98" t="s">
        <v>320</v>
      </c>
      <c r="E157" s="101">
        <v>35</v>
      </c>
      <c r="F157" s="130">
        <v>2214</v>
      </c>
      <c r="G157" s="130">
        <f>E157*F157</f>
        <v>77490</v>
      </c>
    </row>
    <row r="158" spans="1:7" ht="24">
      <c r="A158" s="10">
        <v>14</v>
      </c>
      <c r="B158" s="98" t="s">
        <v>339</v>
      </c>
      <c r="C158" s="21" t="s">
        <v>340</v>
      </c>
      <c r="D158" s="98" t="s">
        <v>320</v>
      </c>
      <c r="E158" s="101">
        <v>110</v>
      </c>
      <c r="F158" s="130">
        <v>2214</v>
      </c>
      <c r="G158" s="130">
        <f>E158*F158</f>
        <v>243540</v>
      </c>
    </row>
    <row r="159" spans="1:7" ht="15" customHeight="1">
      <c r="A159" s="10" t="s">
        <v>316</v>
      </c>
      <c r="B159" s="10"/>
      <c r="C159" s="178" t="s">
        <v>341</v>
      </c>
      <c r="D159" s="10"/>
      <c r="E159" s="13"/>
      <c r="F159" s="130"/>
      <c r="G159" s="130"/>
    </row>
    <row r="160" spans="1:7" ht="24">
      <c r="A160" s="10">
        <v>15</v>
      </c>
      <c r="B160" s="10" t="s">
        <v>342</v>
      </c>
      <c r="C160" s="21" t="s">
        <v>343</v>
      </c>
      <c r="D160" s="10" t="s">
        <v>344</v>
      </c>
      <c r="E160" s="13">
        <v>2.4500000000000002</v>
      </c>
      <c r="F160" s="130">
        <v>287820.53000000003</v>
      </c>
      <c r="G160" s="130">
        <f>E160*F160</f>
        <v>705160.3</v>
      </c>
    </row>
    <row r="161" spans="1:7" ht="36">
      <c r="A161" s="98">
        <v>16</v>
      </c>
      <c r="B161" s="98" t="s">
        <v>345</v>
      </c>
      <c r="C161" s="21" t="s">
        <v>346</v>
      </c>
      <c r="D161" s="98" t="s">
        <v>344</v>
      </c>
      <c r="E161" s="101">
        <v>3</v>
      </c>
      <c r="F161" s="130">
        <v>287820.53000000003</v>
      </c>
      <c r="G161" s="130">
        <f>E161*F161</f>
        <v>863461.59</v>
      </c>
    </row>
    <row r="162" spans="1:7" ht="24">
      <c r="A162" s="10">
        <v>17</v>
      </c>
      <c r="B162" s="98" t="s">
        <v>347</v>
      </c>
      <c r="C162" s="21" t="s">
        <v>348</v>
      </c>
      <c r="D162" s="98" t="s">
        <v>344</v>
      </c>
      <c r="E162" s="101">
        <v>0.25</v>
      </c>
      <c r="F162" s="130">
        <v>287820.52</v>
      </c>
      <c r="G162" s="130">
        <f>E162*F162</f>
        <v>71955.13</v>
      </c>
    </row>
    <row r="163" spans="1:7" ht="15" customHeight="1">
      <c r="A163" s="10" t="s">
        <v>316</v>
      </c>
      <c r="B163" s="98"/>
      <c r="C163" s="178" t="s">
        <v>349</v>
      </c>
      <c r="D163" s="98"/>
      <c r="E163" s="101"/>
      <c r="F163" s="130"/>
      <c r="G163" s="130"/>
    </row>
    <row r="164" spans="1:7" ht="36">
      <c r="A164" s="10">
        <v>18</v>
      </c>
      <c r="B164" s="98" t="s">
        <v>269</v>
      </c>
      <c r="C164" s="21" t="s">
        <v>350</v>
      </c>
      <c r="D164" s="98" t="s">
        <v>351</v>
      </c>
      <c r="E164" s="101">
        <v>16</v>
      </c>
      <c r="F164" s="130">
        <v>2656.8</v>
      </c>
      <c r="G164" s="130">
        <f>E164*F164</f>
        <v>42508.800000000003</v>
      </c>
    </row>
    <row r="165" spans="1:7" ht="15" customHeight="1">
      <c r="A165" s="10" t="s">
        <v>316</v>
      </c>
      <c r="B165" s="98"/>
      <c r="C165" s="21" t="s">
        <v>352</v>
      </c>
      <c r="D165" s="98"/>
      <c r="E165" s="101"/>
      <c r="F165" s="130"/>
      <c r="G165" s="130">
        <f>E165*F165</f>
        <v>0</v>
      </c>
    </row>
    <row r="166" spans="1:7" ht="24">
      <c r="A166" s="10">
        <v>19</v>
      </c>
      <c r="B166" s="98" t="s">
        <v>263</v>
      </c>
      <c r="C166" s="21" t="s">
        <v>353</v>
      </c>
      <c r="D166" s="98" t="s">
        <v>323</v>
      </c>
      <c r="E166" s="101">
        <v>25</v>
      </c>
      <c r="F166" s="130">
        <v>6199.21</v>
      </c>
      <c r="G166" s="130">
        <f>E166*F166</f>
        <v>154980.25</v>
      </c>
    </row>
    <row r="167" spans="1:7" ht="24">
      <c r="A167" s="10">
        <v>20</v>
      </c>
      <c r="B167" s="98" t="s">
        <v>265</v>
      </c>
      <c r="C167" s="21" t="s">
        <v>354</v>
      </c>
      <c r="D167" s="98" t="s">
        <v>323</v>
      </c>
      <c r="E167" s="101">
        <v>4</v>
      </c>
      <c r="F167" s="130">
        <v>5756.41</v>
      </c>
      <c r="G167" s="130">
        <f>E167*F167</f>
        <v>23025.64</v>
      </c>
    </row>
    <row r="168" spans="1:7" ht="24">
      <c r="A168" s="10">
        <v>21</v>
      </c>
      <c r="B168" s="98" t="s">
        <v>267</v>
      </c>
      <c r="C168" s="21" t="s">
        <v>355</v>
      </c>
      <c r="D168" s="98" t="s">
        <v>323</v>
      </c>
      <c r="E168" s="101">
        <v>3</v>
      </c>
      <c r="F168" s="130">
        <v>3985.21</v>
      </c>
      <c r="G168" s="130">
        <f>E168*F168</f>
        <v>11955.63</v>
      </c>
    </row>
    <row r="169" spans="1:7" ht="15" customHeight="1">
      <c r="A169" s="10"/>
      <c r="B169" s="98"/>
      <c r="C169" s="21"/>
      <c r="D169" s="98"/>
      <c r="E169" s="101"/>
      <c r="F169" s="130"/>
      <c r="G169" s="130"/>
    </row>
    <row r="170" spans="1:7" ht="15" customHeight="1">
      <c r="A170" s="10"/>
      <c r="B170" s="98"/>
      <c r="C170" s="21"/>
      <c r="D170" s="98"/>
      <c r="E170" s="101"/>
      <c r="F170" s="130"/>
      <c r="G170" s="130"/>
    </row>
    <row r="171" spans="1:7" ht="15" customHeight="1">
      <c r="A171" s="10"/>
      <c r="B171" s="98"/>
      <c r="C171" s="21"/>
      <c r="D171" s="98"/>
      <c r="E171" s="101"/>
      <c r="F171" s="130"/>
      <c r="G171" s="130"/>
    </row>
    <row r="172" spans="1:7" ht="15" customHeight="1">
      <c r="A172" s="14"/>
      <c r="B172" s="165"/>
      <c r="C172" s="175"/>
      <c r="D172" s="165"/>
      <c r="E172" s="106"/>
      <c r="F172" s="138"/>
      <c r="G172" s="138"/>
    </row>
    <row r="173" spans="1:7" ht="15" customHeight="1">
      <c r="A173" s="706" t="s">
        <v>557</v>
      </c>
      <c r="B173" s="706"/>
      <c r="C173" s="706"/>
      <c r="D173" s="706"/>
      <c r="E173" s="706"/>
      <c r="F173" s="706"/>
      <c r="G173" s="166">
        <f>SUM(G155:G172)</f>
        <v>349748437.14999998</v>
      </c>
    </row>
    <row r="174" spans="1:7" ht="15" customHeight="1">
      <c r="A174" s="116"/>
      <c r="B174" s="116"/>
      <c r="C174" s="116"/>
      <c r="D174" s="116"/>
      <c r="E174" s="116"/>
      <c r="F174" s="116"/>
      <c r="G174" s="511"/>
    </row>
    <row r="175" spans="1:7" ht="15" customHeight="1">
      <c r="A175" s="116"/>
      <c r="B175" s="116"/>
      <c r="C175" s="116"/>
      <c r="D175" s="116"/>
      <c r="E175" s="116"/>
      <c r="F175" s="116"/>
      <c r="G175" s="511"/>
    </row>
    <row r="176" spans="1:7" ht="15" customHeight="1">
      <c r="A176" s="116"/>
      <c r="B176" s="116"/>
      <c r="C176" s="116"/>
      <c r="D176" s="116"/>
      <c r="E176" s="116"/>
      <c r="F176" s="116"/>
      <c r="G176" s="511"/>
    </row>
    <row r="177" spans="1:7" ht="15" customHeight="1">
      <c r="A177" s="116"/>
      <c r="B177" s="116"/>
      <c r="C177" s="116"/>
      <c r="D177" s="116"/>
      <c r="E177" s="116"/>
      <c r="F177" s="116"/>
      <c r="G177" s="511"/>
    </row>
    <row r="178" spans="1:7" ht="15" customHeight="1">
      <c r="A178" s="116"/>
      <c r="B178" s="116"/>
      <c r="C178" s="116"/>
      <c r="D178" s="116"/>
      <c r="E178" s="116"/>
      <c r="F178" s="116"/>
      <c r="G178" s="511"/>
    </row>
    <row r="179" spans="1:7" ht="15" customHeight="1">
      <c r="A179" s="116"/>
      <c r="B179" s="116"/>
      <c r="C179" s="116"/>
      <c r="D179" s="116"/>
      <c r="E179" s="116"/>
      <c r="F179" s="116"/>
      <c r="G179" s="511"/>
    </row>
    <row r="180" spans="1:7" ht="15" customHeight="1">
      <c r="A180" s="116"/>
      <c r="B180" s="116"/>
      <c r="C180" s="116"/>
      <c r="D180" s="116"/>
      <c r="E180" s="116"/>
      <c r="F180" s="116"/>
      <c r="G180" s="511"/>
    </row>
    <row r="181" spans="1:7" ht="15" customHeight="1">
      <c r="A181" s="116"/>
      <c r="B181" s="116"/>
      <c r="C181" s="116"/>
      <c r="D181" s="116"/>
      <c r="E181" s="116"/>
      <c r="F181" s="116"/>
      <c r="G181" s="511"/>
    </row>
    <row r="182" spans="1:7" ht="15" customHeight="1">
      <c r="A182" s="116"/>
      <c r="B182" s="116"/>
      <c r="C182" s="116"/>
      <c r="D182" s="116"/>
      <c r="E182" s="116"/>
      <c r="F182" s="116"/>
      <c r="G182" s="511"/>
    </row>
    <row r="183" spans="1:7" ht="15" customHeight="1">
      <c r="A183" s="116"/>
      <c r="B183" s="116"/>
      <c r="C183" s="116"/>
      <c r="D183" s="116"/>
      <c r="E183" s="116"/>
      <c r="F183" s="116"/>
      <c r="G183" s="511"/>
    </row>
    <row r="184" spans="1:7" ht="15" customHeight="1">
      <c r="A184" s="116"/>
      <c r="B184" s="116"/>
      <c r="C184" s="116"/>
      <c r="D184" s="116"/>
      <c r="E184" s="116"/>
      <c r="F184" s="116"/>
      <c r="G184" s="511"/>
    </row>
    <row r="185" spans="1:7" ht="15" customHeight="1">
      <c r="A185" s="116"/>
      <c r="B185" s="116"/>
      <c r="C185" s="116"/>
      <c r="D185" s="116"/>
      <c r="E185" s="116"/>
      <c r="F185" s="116"/>
      <c r="G185" s="511"/>
    </row>
    <row r="186" spans="1:7" ht="15" customHeight="1">
      <c r="A186" s="116"/>
      <c r="B186" s="116"/>
      <c r="C186" s="116"/>
      <c r="D186" s="116"/>
      <c r="E186" s="116"/>
      <c r="F186" s="116"/>
      <c r="G186" s="511"/>
    </row>
    <row r="187" spans="1:7" ht="15" customHeight="1">
      <c r="A187" s="116"/>
      <c r="B187" s="116"/>
      <c r="C187" s="116"/>
      <c r="D187" s="116"/>
      <c r="E187" s="116"/>
      <c r="F187" s="116"/>
      <c r="G187" s="511"/>
    </row>
    <row r="188" spans="1:7" ht="15" customHeight="1">
      <c r="A188" s="116"/>
      <c r="B188" s="116"/>
      <c r="C188" s="116"/>
      <c r="D188" s="116"/>
      <c r="E188" s="116"/>
      <c r="F188" s="116"/>
      <c r="G188" s="511"/>
    </row>
    <row r="189" spans="1:7" ht="15" customHeight="1">
      <c r="A189" s="116"/>
      <c r="B189" s="116"/>
      <c r="C189" s="116"/>
      <c r="D189" s="116"/>
      <c r="E189" s="116"/>
      <c r="F189" s="116"/>
      <c r="G189" s="511"/>
    </row>
    <row r="191" spans="1:7" ht="13.5">
      <c r="A191" s="116"/>
      <c r="B191" s="117"/>
      <c r="C191" s="118"/>
      <c r="D191" s="119"/>
      <c r="E191" s="119"/>
      <c r="F191" s="119"/>
      <c r="G191" s="120"/>
    </row>
    <row r="192" spans="1:7" s="1" customFormat="1" ht="38.25" customHeight="1">
      <c r="A192" s="121"/>
      <c r="B192" s="122"/>
      <c r="C192" s="122"/>
      <c r="D192" s="123"/>
      <c r="E192" s="123"/>
      <c r="F192" s="123"/>
      <c r="G192" s="121"/>
    </row>
    <row r="193" spans="1:7" ht="13.5">
      <c r="A193" s="124"/>
      <c r="B193" s="117"/>
      <c r="C193" s="118"/>
      <c r="D193" s="119"/>
      <c r="E193" s="119"/>
      <c r="F193" s="119"/>
      <c r="G193" s="120"/>
    </row>
    <row r="194" spans="1:7" ht="13.5">
      <c r="A194" s="116"/>
      <c r="B194" s="117"/>
      <c r="C194" s="118"/>
      <c r="D194" s="119"/>
      <c r="E194" s="119"/>
      <c r="F194" s="119"/>
      <c r="G194" s="120"/>
    </row>
    <row r="195" spans="1:7" ht="15" customHeight="1">
      <c r="A195" s="706" t="s">
        <v>558</v>
      </c>
      <c r="B195" s="706"/>
      <c r="C195" s="706"/>
      <c r="D195" s="706"/>
      <c r="E195" s="706"/>
      <c r="F195" s="706"/>
      <c r="G195" s="94">
        <f>G173</f>
        <v>349748437.14999998</v>
      </c>
    </row>
    <row r="196" spans="1:7" s="181" customFormat="1" ht="15" customHeight="1">
      <c r="A196" s="182" t="s">
        <v>316</v>
      </c>
      <c r="B196" s="182"/>
      <c r="C196" s="183" t="s">
        <v>356</v>
      </c>
      <c r="D196" s="182"/>
      <c r="E196" s="184"/>
      <c r="F196" s="185"/>
      <c r="G196" s="185"/>
    </row>
    <row r="197" spans="1:7" s="181" customFormat="1" ht="12" customHeight="1">
      <c r="A197" s="176" t="s">
        <v>316</v>
      </c>
      <c r="B197" s="176"/>
      <c r="C197" s="178" t="s">
        <v>330</v>
      </c>
      <c r="D197" s="176"/>
      <c r="E197" s="187"/>
      <c r="F197" s="180"/>
      <c r="G197" s="180"/>
    </row>
    <row r="198" spans="1:7" ht="15" customHeight="1">
      <c r="A198" s="98">
        <v>1</v>
      </c>
      <c r="B198" s="98" t="s">
        <v>275</v>
      </c>
      <c r="C198" s="21" t="s">
        <v>357</v>
      </c>
      <c r="D198" s="98" t="s">
        <v>323</v>
      </c>
      <c r="E198" s="101">
        <v>18</v>
      </c>
      <c r="F198" s="130">
        <v>26568.05</v>
      </c>
      <c r="G198" s="130">
        <f>E198*F198</f>
        <v>478224.9</v>
      </c>
    </row>
    <row r="199" spans="1:7" ht="24">
      <c r="A199" s="10">
        <v>2</v>
      </c>
      <c r="B199" s="98" t="s">
        <v>335</v>
      </c>
      <c r="C199" s="21" t="s">
        <v>358</v>
      </c>
      <c r="D199" s="98" t="s">
        <v>323</v>
      </c>
      <c r="E199" s="101">
        <v>10</v>
      </c>
      <c r="F199" s="130">
        <v>23911.24</v>
      </c>
      <c r="G199" s="130">
        <f>E199*F199</f>
        <v>239112.4</v>
      </c>
    </row>
    <row r="200" spans="1:7" ht="15" customHeight="1">
      <c r="A200" s="10" t="s">
        <v>316</v>
      </c>
      <c r="B200" s="98"/>
      <c r="C200" s="178" t="s">
        <v>359</v>
      </c>
      <c r="D200" s="98"/>
      <c r="E200" s="101"/>
      <c r="F200" s="130"/>
      <c r="G200" s="130"/>
    </row>
    <row r="201" spans="1:7" ht="24">
      <c r="A201" s="10">
        <v>3</v>
      </c>
      <c r="B201" s="98" t="s">
        <v>339</v>
      </c>
      <c r="C201" s="21" t="s">
        <v>360</v>
      </c>
      <c r="D201" s="98" t="s">
        <v>320</v>
      </c>
      <c r="E201" s="101">
        <v>65</v>
      </c>
      <c r="F201" s="130">
        <v>2214</v>
      </c>
      <c r="G201" s="130">
        <f>E201*F201</f>
        <v>143910</v>
      </c>
    </row>
    <row r="202" spans="1:7" ht="24">
      <c r="A202" s="10">
        <v>4</v>
      </c>
      <c r="B202" s="98" t="s">
        <v>361</v>
      </c>
      <c r="C202" s="21" t="s">
        <v>362</v>
      </c>
      <c r="D202" s="98" t="s">
        <v>320</v>
      </c>
      <c r="E202" s="101">
        <v>26</v>
      </c>
      <c r="F202" s="130">
        <v>2214</v>
      </c>
      <c r="G202" s="130">
        <f>E202*F202</f>
        <v>57564</v>
      </c>
    </row>
    <row r="203" spans="1:7" ht="15" customHeight="1">
      <c r="A203" s="10"/>
      <c r="B203" s="98"/>
      <c r="C203" s="178" t="s">
        <v>341</v>
      </c>
      <c r="D203" s="98"/>
      <c r="E203" s="101"/>
      <c r="F203" s="130"/>
      <c r="G203" s="130"/>
    </row>
    <row r="204" spans="1:7" ht="24">
      <c r="A204" s="10">
        <v>5</v>
      </c>
      <c r="B204" s="98" t="s">
        <v>345</v>
      </c>
      <c r="C204" s="21" t="s">
        <v>363</v>
      </c>
      <c r="D204" s="98" t="s">
        <v>344</v>
      </c>
      <c r="E204" s="101">
        <v>2.5</v>
      </c>
      <c r="F204" s="130">
        <v>287820.53000000003</v>
      </c>
      <c r="G204" s="130">
        <f>E204*F204</f>
        <v>719551.33</v>
      </c>
    </row>
    <row r="205" spans="1:7" ht="24">
      <c r="A205" s="10">
        <v>6</v>
      </c>
      <c r="B205" s="98" t="s">
        <v>342</v>
      </c>
      <c r="C205" s="21" t="s">
        <v>364</v>
      </c>
      <c r="D205" s="98" t="s">
        <v>344</v>
      </c>
      <c r="E205" s="101">
        <v>0.1</v>
      </c>
      <c r="F205" s="130">
        <v>287820.5</v>
      </c>
      <c r="G205" s="130">
        <f>E205*F205</f>
        <v>28782.05</v>
      </c>
    </row>
    <row r="206" spans="1:7" ht="15" customHeight="1">
      <c r="A206" s="10" t="s">
        <v>316</v>
      </c>
      <c r="B206" s="98"/>
      <c r="C206" s="178" t="s">
        <v>365</v>
      </c>
      <c r="D206" s="98"/>
      <c r="E206" s="101"/>
      <c r="F206" s="130"/>
      <c r="G206" s="130"/>
    </row>
    <row r="207" spans="1:7" ht="48">
      <c r="A207" s="10">
        <v>7</v>
      </c>
      <c r="B207" s="98" t="s">
        <v>366</v>
      </c>
      <c r="C207" s="21" t="s">
        <v>367</v>
      </c>
      <c r="D207" s="98" t="s">
        <v>351</v>
      </c>
      <c r="E207" s="101">
        <v>15</v>
      </c>
      <c r="F207" s="130">
        <v>22140.04</v>
      </c>
      <c r="G207" s="130">
        <f t="shared" ref="G207:G213" si="4">E207*F207</f>
        <v>332100.59999999998</v>
      </c>
    </row>
    <row r="208" spans="1:7" ht="40.5" customHeight="1">
      <c r="A208" s="10">
        <v>8</v>
      </c>
      <c r="B208" s="98" t="s">
        <v>368</v>
      </c>
      <c r="C208" s="21" t="s">
        <v>369</v>
      </c>
      <c r="D208" s="98" t="s">
        <v>370</v>
      </c>
      <c r="E208" s="101">
        <v>4</v>
      </c>
      <c r="F208" s="130">
        <v>177120.33</v>
      </c>
      <c r="G208" s="130">
        <f t="shared" si="4"/>
        <v>708481.32</v>
      </c>
    </row>
    <row r="209" spans="1:7" ht="13.5">
      <c r="A209" s="10" t="s">
        <v>316</v>
      </c>
      <c r="B209" s="98"/>
      <c r="C209" s="178" t="s">
        <v>371</v>
      </c>
      <c r="D209" s="98"/>
      <c r="E209" s="101"/>
      <c r="F209" s="130"/>
      <c r="G209" s="130">
        <f t="shared" si="4"/>
        <v>0</v>
      </c>
    </row>
    <row r="210" spans="1:7" ht="24">
      <c r="A210" s="10">
        <v>9</v>
      </c>
      <c r="B210" s="98" t="s">
        <v>372</v>
      </c>
      <c r="C210" s="21" t="s">
        <v>373</v>
      </c>
      <c r="D210" s="98" t="s">
        <v>374</v>
      </c>
      <c r="E210" s="101">
        <v>8</v>
      </c>
      <c r="F210" s="130">
        <v>4428.01</v>
      </c>
      <c r="G210" s="130">
        <f t="shared" si="4"/>
        <v>35424.080000000002</v>
      </c>
    </row>
    <row r="211" spans="1:7" ht="15" customHeight="1">
      <c r="A211" s="10" t="s">
        <v>316</v>
      </c>
      <c r="B211" s="98"/>
      <c r="C211" s="178" t="s">
        <v>375</v>
      </c>
      <c r="D211" s="98"/>
      <c r="E211" s="101"/>
      <c r="F211" s="130"/>
      <c r="G211" s="130">
        <f t="shared" si="4"/>
        <v>0</v>
      </c>
    </row>
    <row r="212" spans="1:7" ht="36">
      <c r="A212" s="10">
        <v>10</v>
      </c>
      <c r="B212" s="98" t="s">
        <v>376</v>
      </c>
      <c r="C212" s="21" t="s">
        <v>377</v>
      </c>
      <c r="D212" s="98" t="s">
        <v>351</v>
      </c>
      <c r="E212" s="101">
        <v>20</v>
      </c>
      <c r="F212" s="130">
        <v>3099.61</v>
      </c>
      <c r="G212" s="130">
        <f t="shared" si="4"/>
        <v>61992.2</v>
      </c>
    </row>
    <row r="213" spans="1:7" ht="30" customHeight="1">
      <c r="A213" s="10">
        <v>11</v>
      </c>
      <c r="B213" s="98" t="s">
        <v>378</v>
      </c>
      <c r="C213" s="21" t="s">
        <v>379</v>
      </c>
      <c r="D213" s="98" t="s">
        <v>351</v>
      </c>
      <c r="E213" s="101">
        <v>10</v>
      </c>
      <c r="F213" s="130">
        <v>3099.61</v>
      </c>
      <c r="G213" s="130">
        <f t="shared" si="4"/>
        <v>30996.1</v>
      </c>
    </row>
    <row r="214" spans="1:7" ht="15" customHeight="1">
      <c r="A214" s="706" t="s">
        <v>557</v>
      </c>
      <c r="B214" s="706"/>
      <c r="C214" s="706"/>
      <c r="D214" s="706"/>
      <c r="E214" s="706"/>
      <c r="F214" s="706"/>
      <c r="G214" s="166">
        <f>SUM(G195:G213)</f>
        <v>352584576.13</v>
      </c>
    </row>
    <row r="215" spans="1:7" ht="15" customHeight="1">
      <c r="A215" s="116"/>
      <c r="B215" s="116"/>
      <c r="C215" s="116"/>
      <c r="D215" s="116"/>
      <c r="E215" s="116"/>
      <c r="F215" s="116"/>
      <c r="G215" s="511"/>
    </row>
    <row r="216" spans="1:7" ht="15" customHeight="1">
      <c r="A216" s="116"/>
      <c r="B216" s="116"/>
      <c r="C216" s="116"/>
      <c r="D216" s="116"/>
      <c r="E216" s="116"/>
      <c r="F216" s="116"/>
      <c r="G216" s="511"/>
    </row>
    <row r="217" spans="1:7" ht="15" customHeight="1">
      <c r="A217" s="116"/>
      <c r="B217" s="116"/>
      <c r="C217" s="116"/>
      <c r="D217" s="116"/>
      <c r="E217" s="116"/>
      <c r="F217" s="116"/>
      <c r="G217" s="511"/>
    </row>
    <row r="218" spans="1:7" ht="15" customHeight="1">
      <c r="A218" s="116"/>
      <c r="B218" s="116"/>
      <c r="C218" s="116"/>
      <c r="D218" s="116"/>
      <c r="E218" s="116"/>
      <c r="F218" s="116"/>
      <c r="G218" s="511"/>
    </row>
    <row r="219" spans="1:7" ht="15" customHeight="1">
      <c r="A219" s="116"/>
      <c r="B219" s="116"/>
      <c r="C219" s="116"/>
      <c r="D219" s="116"/>
      <c r="E219" s="116"/>
      <c r="F219" s="116"/>
      <c r="G219" s="511"/>
    </row>
    <row r="220" spans="1:7" ht="15" customHeight="1">
      <c r="A220" s="116"/>
      <c r="B220" s="116"/>
      <c r="C220" s="116"/>
      <c r="D220" s="116"/>
      <c r="E220" s="116"/>
      <c r="F220" s="116"/>
      <c r="G220" s="511"/>
    </row>
    <row r="221" spans="1:7" ht="15" customHeight="1">
      <c r="A221" s="116"/>
      <c r="B221" s="116"/>
      <c r="C221" s="116"/>
      <c r="D221" s="116"/>
      <c r="E221" s="116"/>
      <c r="F221" s="116"/>
      <c r="G221" s="511"/>
    </row>
    <row r="222" spans="1:7" ht="15" customHeight="1">
      <c r="A222" s="116"/>
      <c r="B222" s="116"/>
      <c r="C222" s="116"/>
      <c r="D222" s="116"/>
      <c r="E222" s="116"/>
      <c r="F222" s="116"/>
      <c r="G222" s="511"/>
    </row>
    <row r="223" spans="1:7" ht="15" customHeight="1">
      <c r="A223" s="116"/>
      <c r="B223" s="116"/>
      <c r="C223" s="116"/>
      <c r="D223" s="116"/>
      <c r="E223" s="116"/>
      <c r="F223" s="116"/>
      <c r="G223" s="511"/>
    </row>
    <row r="224" spans="1:7" ht="15" customHeight="1">
      <c r="A224" s="116"/>
      <c r="B224" s="116"/>
      <c r="C224" s="116"/>
      <c r="D224" s="116"/>
      <c r="E224" s="116"/>
      <c r="F224" s="116"/>
      <c r="G224" s="511"/>
    </row>
    <row r="225" spans="1:7" ht="15" customHeight="1">
      <c r="A225" s="116"/>
      <c r="B225" s="116"/>
      <c r="C225" s="116"/>
      <c r="D225" s="116"/>
      <c r="E225" s="116"/>
      <c r="F225" s="116"/>
      <c r="G225" s="511"/>
    </row>
    <row r="226" spans="1:7" ht="15" customHeight="1">
      <c r="A226" s="116"/>
      <c r="B226" s="116"/>
      <c r="C226" s="116"/>
      <c r="D226" s="116"/>
      <c r="E226" s="116"/>
      <c r="F226" s="116"/>
      <c r="G226" s="511"/>
    </row>
    <row r="227" spans="1:7" ht="15" customHeight="1">
      <c r="A227" s="116"/>
      <c r="B227" s="116"/>
      <c r="C227" s="116"/>
      <c r="D227" s="116"/>
      <c r="E227" s="116"/>
      <c r="F227" s="116"/>
      <c r="G227" s="511"/>
    </row>
    <row r="228" spans="1:7" ht="15" customHeight="1">
      <c r="A228" s="116"/>
      <c r="B228" s="116"/>
      <c r="C228" s="116"/>
      <c r="D228" s="116"/>
      <c r="E228" s="116"/>
      <c r="F228" s="116"/>
      <c r="G228" s="511"/>
    </row>
    <row r="229" spans="1:7" ht="15" customHeight="1">
      <c r="A229" s="116"/>
      <c r="B229" s="116"/>
      <c r="C229" s="116"/>
      <c r="D229" s="116"/>
      <c r="E229" s="116"/>
      <c r="F229" s="116"/>
      <c r="G229" s="511"/>
    </row>
    <row r="230" spans="1:7" ht="15" customHeight="1">
      <c r="A230" s="116"/>
      <c r="B230" s="116"/>
      <c r="C230" s="116"/>
      <c r="D230" s="116"/>
      <c r="E230" s="116"/>
      <c r="F230" s="116"/>
      <c r="G230" s="511"/>
    </row>
    <row r="231" spans="1:7" ht="13.5">
      <c r="A231" s="116"/>
      <c r="B231" s="117"/>
      <c r="C231" s="118"/>
      <c r="D231" s="119"/>
      <c r="E231" s="119"/>
      <c r="F231" s="119"/>
      <c r="G231" s="120"/>
    </row>
    <row r="232" spans="1:7" s="1" customFormat="1" ht="23.25" customHeight="1">
      <c r="A232" s="121"/>
      <c r="B232" s="122"/>
      <c r="C232" s="122"/>
      <c r="D232" s="123"/>
      <c r="E232" s="123"/>
      <c r="F232" s="123"/>
      <c r="G232" s="121"/>
    </row>
    <row r="233" spans="1:7" ht="13.5">
      <c r="A233" s="124"/>
      <c r="B233" s="117"/>
      <c r="C233" s="118"/>
      <c r="D233" s="119"/>
      <c r="E233" s="119"/>
      <c r="F233" s="119"/>
      <c r="G233" s="120"/>
    </row>
    <row r="234" spans="1:7" ht="13.5">
      <c r="A234" s="116"/>
      <c r="B234" s="117"/>
      <c r="C234" s="118"/>
      <c r="D234" s="119"/>
      <c r="E234" s="119"/>
      <c r="F234" s="119"/>
      <c r="G234" s="120"/>
    </row>
    <row r="235" spans="1:7" ht="15" customHeight="1">
      <c r="A235" s="706" t="s">
        <v>558</v>
      </c>
      <c r="B235" s="706"/>
      <c r="C235" s="706"/>
      <c r="D235" s="706"/>
      <c r="E235" s="706"/>
      <c r="F235" s="706"/>
      <c r="G235" s="94">
        <f>G214</f>
        <v>352584576.13</v>
      </c>
    </row>
    <row r="236" spans="1:7" ht="15" customHeight="1">
      <c r="A236" s="10" t="s">
        <v>316</v>
      </c>
      <c r="B236" s="98"/>
      <c r="C236" s="178" t="s">
        <v>380</v>
      </c>
      <c r="D236" s="98"/>
      <c r="E236" s="9"/>
      <c r="F236" s="127"/>
      <c r="G236" s="127"/>
    </row>
    <row r="237" spans="1:7" ht="24">
      <c r="A237" s="10">
        <v>12</v>
      </c>
      <c r="B237" s="163" t="s">
        <v>381</v>
      </c>
      <c r="C237" s="173" t="s">
        <v>382</v>
      </c>
      <c r="D237" s="163" t="s">
        <v>351</v>
      </c>
      <c r="E237" s="13">
        <v>18</v>
      </c>
      <c r="F237" s="130">
        <v>3542.41</v>
      </c>
      <c r="G237" s="130">
        <f>E237*F237</f>
        <v>63763.38</v>
      </c>
    </row>
    <row r="238" spans="1:7" ht="15" customHeight="1">
      <c r="A238" s="98" t="s">
        <v>316</v>
      </c>
      <c r="B238" s="98"/>
      <c r="C238" s="178" t="s">
        <v>383</v>
      </c>
      <c r="D238" s="98"/>
      <c r="E238" s="101"/>
      <c r="F238" s="130"/>
      <c r="G238" s="130"/>
    </row>
    <row r="239" spans="1:7" ht="24">
      <c r="A239" s="10">
        <v>13</v>
      </c>
      <c r="B239" s="98" t="s">
        <v>384</v>
      </c>
      <c r="C239" s="21" t="s">
        <v>385</v>
      </c>
      <c r="D239" s="98" t="s">
        <v>370</v>
      </c>
      <c r="E239" s="101">
        <v>20</v>
      </c>
      <c r="F239" s="130">
        <v>6642.01</v>
      </c>
      <c r="G239" s="130">
        <f t="shared" ref="G239:G246" si="5">E239*F239</f>
        <v>132840.20000000001</v>
      </c>
    </row>
    <row r="240" spans="1:7" ht="36">
      <c r="A240" s="10">
        <v>14</v>
      </c>
      <c r="B240" s="98" t="s">
        <v>386</v>
      </c>
      <c r="C240" s="21" t="s">
        <v>387</v>
      </c>
      <c r="D240" s="98" t="s">
        <v>370</v>
      </c>
      <c r="E240" s="101">
        <v>20</v>
      </c>
      <c r="F240" s="130">
        <v>4428.01</v>
      </c>
      <c r="G240" s="130">
        <f t="shared" si="5"/>
        <v>88560.2</v>
      </c>
    </row>
    <row r="241" spans="1:7" ht="36">
      <c r="A241" s="10">
        <v>15</v>
      </c>
      <c r="B241" s="98" t="s">
        <v>388</v>
      </c>
      <c r="C241" s="21" t="s">
        <v>389</v>
      </c>
      <c r="D241" s="98" t="s">
        <v>351</v>
      </c>
      <c r="E241" s="101">
        <v>18</v>
      </c>
      <c r="F241" s="130">
        <v>2656.8</v>
      </c>
      <c r="G241" s="130">
        <f t="shared" si="5"/>
        <v>47822.400000000001</v>
      </c>
    </row>
    <row r="242" spans="1:7" ht="24">
      <c r="A242" s="10">
        <v>16</v>
      </c>
      <c r="B242" s="98" t="s">
        <v>390</v>
      </c>
      <c r="C242" s="21" t="s">
        <v>391</v>
      </c>
      <c r="D242" s="98" t="s">
        <v>351</v>
      </c>
      <c r="E242" s="101">
        <v>20</v>
      </c>
      <c r="F242" s="130">
        <v>8856.02</v>
      </c>
      <c r="G242" s="130">
        <f t="shared" si="5"/>
        <v>177120.4</v>
      </c>
    </row>
    <row r="243" spans="1:7" ht="36">
      <c r="A243" s="10">
        <v>17</v>
      </c>
      <c r="B243" s="98" t="s">
        <v>392</v>
      </c>
      <c r="C243" s="21" t="s">
        <v>393</v>
      </c>
      <c r="D243" s="98" t="s">
        <v>374</v>
      </c>
      <c r="E243" s="101">
        <v>20</v>
      </c>
      <c r="F243" s="130">
        <v>3099.61</v>
      </c>
      <c r="G243" s="130">
        <f t="shared" si="5"/>
        <v>61992.2</v>
      </c>
    </row>
    <row r="244" spans="1:7" ht="36">
      <c r="A244" s="10">
        <v>18</v>
      </c>
      <c r="B244" s="98" t="s">
        <v>394</v>
      </c>
      <c r="C244" s="21" t="s">
        <v>395</v>
      </c>
      <c r="D244" s="98" t="s">
        <v>311</v>
      </c>
      <c r="E244" s="101">
        <v>9</v>
      </c>
      <c r="F244" s="130">
        <v>4428.01</v>
      </c>
      <c r="G244" s="130">
        <f t="shared" si="5"/>
        <v>39852.089999999997</v>
      </c>
    </row>
    <row r="245" spans="1:7" ht="24">
      <c r="A245" s="10">
        <v>19</v>
      </c>
      <c r="B245" s="98" t="s">
        <v>396</v>
      </c>
      <c r="C245" s="21" t="s">
        <v>397</v>
      </c>
      <c r="D245" s="98" t="s">
        <v>370</v>
      </c>
      <c r="E245" s="101">
        <v>6</v>
      </c>
      <c r="F245" s="130">
        <v>2214</v>
      </c>
      <c r="G245" s="130">
        <f t="shared" si="5"/>
        <v>13284</v>
      </c>
    </row>
    <row r="246" spans="1:7" ht="24">
      <c r="A246" s="10">
        <v>20</v>
      </c>
      <c r="B246" s="98" t="s">
        <v>398</v>
      </c>
      <c r="C246" s="21" t="s">
        <v>399</v>
      </c>
      <c r="D246" s="98" t="s">
        <v>370</v>
      </c>
      <c r="E246" s="101">
        <v>6</v>
      </c>
      <c r="F246" s="130">
        <v>1771.2</v>
      </c>
      <c r="G246" s="130">
        <f t="shared" si="5"/>
        <v>10627.2</v>
      </c>
    </row>
    <row r="247" spans="1:7" ht="13.5">
      <c r="A247" s="506"/>
      <c r="B247" s="507"/>
      <c r="C247" s="508"/>
      <c r="D247" s="507"/>
      <c r="E247" s="509"/>
      <c r="F247" s="510"/>
      <c r="G247" s="510"/>
    </row>
    <row r="248" spans="1:7" ht="13.5">
      <c r="A248" s="506"/>
      <c r="B248" s="507"/>
      <c r="C248" s="508"/>
      <c r="D248" s="507"/>
      <c r="E248" s="509"/>
      <c r="F248" s="510"/>
      <c r="G248" s="510"/>
    </row>
    <row r="249" spans="1:7" ht="13.5">
      <c r="A249" s="506"/>
      <c r="B249" s="507"/>
      <c r="C249" s="508"/>
      <c r="D249" s="507"/>
      <c r="E249" s="509"/>
      <c r="F249" s="510"/>
      <c r="G249" s="510"/>
    </row>
    <row r="250" spans="1:7" ht="13.5">
      <c r="A250" s="506"/>
      <c r="B250" s="507"/>
      <c r="C250" s="508"/>
      <c r="D250" s="507"/>
      <c r="E250" s="509"/>
      <c r="F250" s="510"/>
      <c r="G250" s="510"/>
    </row>
    <row r="251" spans="1:7" ht="13.5">
      <c r="A251" s="506"/>
      <c r="B251" s="507"/>
      <c r="C251" s="508"/>
      <c r="D251" s="507"/>
      <c r="E251" s="509"/>
      <c r="F251" s="510"/>
      <c r="G251" s="510"/>
    </row>
    <row r="252" spans="1:7" ht="13.5">
      <c r="A252" s="506"/>
      <c r="B252" s="507"/>
      <c r="C252" s="508"/>
      <c r="D252" s="507"/>
      <c r="E252" s="509"/>
      <c r="F252" s="510"/>
      <c r="G252" s="510"/>
    </row>
    <row r="253" spans="1:7" ht="15" customHeight="1">
      <c r="A253" s="10"/>
      <c r="B253" s="98"/>
      <c r="C253" s="21"/>
      <c r="D253" s="98"/>
      <c r="E253" s="101"/>
      <c r="F253" s="130"/>
      <c r="G253" s="130"/>
    </row>
    <row r="254" spans="1:7" ht="15" customHeight="1">
      <c r="A254" s="98"/>
      <c r="B254" s="163"/>
      <c r="C254" s="174"/>
      <c r="D254" s="163"/>
      <c r="E254" s="101"/>
      <c r="F254" s="130"/>
      <c r="G254" s="130"/>
    </row>
    <row r="255" spans="1:7" ht="15" customHeight="1">
      <c r="A255" s="14"/>
      <c r="B255" s="165"/>
      <c r="C255" s="175"/>
      <c r="D255" s="165"/>
      <c r="E255" s="106"/>
      <c r="F255" s="138"/>
      <c r="G255" s="138"/>
    </row>
    <row r="256" spans="1:7" ht="15" customHeight="1">
      <c r="A256" s="706" t="s">
        <v>557</v>
      </c>
      <c r="B256" s="706"/>
      <c r="C256" s="706"/>
      <c r="D256" s="706"/>
      <c r="E256" s="706"/>
      <c r="F256" s="706"/>
      <c r="G256" s="166">
        <f>SUM(G235:G255)</f>
        <v>353220438.19999999</v>
      </c>
    </row>
    <row r="257" spans="1:7" ht="15" customHeight="1">
      <c r="A257" s="116"/>
      <c r="B257" s="116"/>
      <c r="C257" s="116"/>
      <c r="D257" s="116"/>
      <c r="E257" s="116"/>
      <c r="F257" s="116"/>
      <c r="G257" s="511"/>
    </row>
    <row r="258" spans="1:7" ht="15" customHeight="1">
      <c r="A258" s="116"/>
      <c r="B258" s="116"/>
      <c r="C258" s="116"/>
      <c r="D258" s="116"/>
      <c r="E258" s="116"/>
      <c r="F258" s="116"/>
      <c r="G258" s="511"/>
    </row>
    <row r="259" spans="1:7" ht="15" customHeight="1">
      <c r="A259" s="116"/>
      <c r="B259" s="116"/>
      <c r="C259" s="116"/>
      <c r="D259" s="116"/>
      <c r="E259" s="116"/>
      <c r="F259" s="116"/>
      <c r="G259" s="511"/>
    </row>
    <row r="260" spans="1:7" ht="15" customHeight="1">
      <c r="A260" s="116"/>
      <c r="B260" s="116"/>
      <c r="C260" s="116"/>
      <c r="D260" s="116"/>
      <c r="E260" s="116"/>
      <c r="F260" s="116"/>
      <c r="G260" s="511"/>
    </row>
    <row r="261" spans="1:7" ht="15" customHeight="1">
      <c r="A261" s="116"/>
      <c r="B261" s="116"/>
      <c r="C261" s="116"/>
      <c r="D261" s="116"/>
      <c r="E261" s="116"/>
      <c r="F261" s="116"/>
      <c r="G261" s="511"/>
    </row>
    <row r="262" spans="1:7" ht="15" customHeight="1">
      <c r="A262" s="116"/>
      <c r="B262" s="116"/>
      <c r="C262" s="116"/>
      <c r="D262" s="116"/>
      <c r="E262" s="116"/>
      <c r="F262" s="116"/>
      <c r="G262" s="511"/>
    </row>
    <row r="263" spans="1:7" ht="15" customHeight="1">
      <c r="A263" s="116"/>
      <c r="B263" s="116"/>
      <c r="C263" s="116"/>
      <c r="D263" s="116"/>
      <c r="E263" s="116"/>
      <c r="F263" s="116"/>
      <c r="G263" s="511"/>
    </row>
    <row r="264" spans="1:7" ht="15" customHeight="1">
      <c r="A264" s="116"/>
      <c r="B264" s="116"/>
      <c r="C264" s="116"/>
      <c r="D264" s="116"/>
      <c r="E264" s="116"/>
      <c r="F264" s="116"/>
      <c r="G264" s="511"/>
    </row>
    <row r="265" spans="1:7" ht="15" customHeight="1">
      <c r="A265" s="116"/>
      <c r="B265" s="116"/>
      <c r="C265" s="116"/>
      <c r="D265" s="116"/>
      <c r="E265" s="116"/>
      <c r="F265" s="116"/>
      <c r="G265" s="511"/>
    </row>
    <row r="266" spans="1:7" ht="15" customHeight="1">
      <c r="A266" s="116"/>
      <c r="B266" s="116"/>
      <c r="C266" s="116"/>
      <c r="D266" s="116"/>
      <c r="E266" s="116"/>
      <c r="F266" s="116"/>
      <c r="G266" s="511"/>
    </row>
    <row r="267" spans="1:7" ht="15" customHeight="1">
      <c r="A267" s="116"/>
      <c r="B267" s="116"/>
      <c r="C267" s="116"/>
      <c r="D267" s="116"/>
      <c r="E267" s="116"/>
      <c r="F267" s="116"/>
      <c r="G267" s="511"/>
    </row>
    <row r="269" spans="1:7" ht="13.5">
      <c r="A269" s="116"/>
      <c r="B269" s="117"/>
      <c r="C269" s="118"/>
      <c r="D269" s="119"/>
      <c r="E269" s="119"/>
      <c r="F269" s="119"/>
      <c r="G269" s="120"/>
    </row>
    <row r="270" spans="1:7" s="1" customFormat="1" ht="23.25" customHeight="1">
      <c r="A270" s="121"/>
      <c r="B270" s="122"/>
      <c r="C270" s="122"/>
      <c r="D270" s="123"/>
      <c r="E270" s="123"/>
      <c r="F270" s="123"/>
      <c r="G270" s="121"/>
    </row>
    <row r="271" spans="1:7" ht="13.5">
      <c r="A271" s="124"/>
      <c r="B271" s="117"/>
      <c r="C271" s="118"/>
      <c r="D271" s="119"/>
      <c r="E271" s="119"/>
      <c r="F271" s="119"/>
      <c r="G271" s="120"/>
    </row>
    <row r="272" spans="1:7" ht="13.5">
      <c r="A272" s="116"/>
      <c r="B272" s="117"/>
      <c r="C272" s="118"/>
      <c r="D272" s="119"/>
      <c r="E272" s="119"/>
      <c r="F272" s="119"/>
      <c r="G272" s="120"/>
    </row>
    <row r="273" spans="1:9" ht="15" customHeight="1">
      <c r="A273" s="706" t="s">
        <v>558</v>
      </c>
      <c r="B273" s="706"/>
      <c r="C273" s="706"/>
      <c r="D273" s="706"/>
      <c r="E273" s="706"/>
      <c r="F273" s="706"/>
      <c r="G273" s="94">
        <f>G256</f>
        <v>353220438.19999999</v>
      </c>
    </row>
    <row r="274" spans="1:9" s="181" customFormat="1" ht="15" customHeight="1">
      <c r="A274" s="176">
        <v>6.5</v>
      </c>
      <c r="B274" s="177"/>
      <c r="C274" s="188" t="s">
        <v>400</v>
      </c>
      <c r="D274" s="177"/>
      <c r="E274" s="184"/>
      <c r="F274" s="185"/>
      <c r="G274" s="185"/>
    </row>
    <row r="275" spans="1:9" s="181" customFormat="1" ht="13.5">
      <c r="A275" s="176"/>
      <c r="B275" s="189"/>
      <c r="C275" s="190" t="s">
        <v>313</v>
      </c>
      <c r="D275" s="189"/>
      <c r="E275" s="187"/>
      <c r="F275" s="180"/>
      <c r="G275" s="180"/>
    </row>
    <row r="276" spans="1:9" ht="63.75">
      <c r="A276" s="98">
        <v>1</v>
      </c>
      <c r="B276" s="98" t="s">
        <v>314</v>
      </c>
      <c r="C276" s="191" t="s">
        <v>315</v>
      </c>
      <c r="D276" s="98" t="s">
        <v>8</v>
      </c>
      <c r="E276" s="101">
        <v>1</v>
      </c>
      <c r="F276" s="130">
        <v>2214004.08</v>
      </c>
      <c r="G276" s="130">
        <f>E276*F276</f>
        <v>2214004.08</v>
      </c>
    </row>
    <row r="277" spans="1:9" ht="15" customHeight="1">
      <c r="A277" s="10" t="s">
        <v>316</v>
      </c>
      <c r="B277" s="98"/>
      <c r="C277" s="178" t="s">
        <v>401</v>
      </c>
      <c r="D277" s="98"/>
      <c r="E277" s="101"/>
      <c r="F277" s="130"/>
      <c r="G277" s="130"/>
    </row>
    <row r="278" spans="1:9" ht="15" customHeight="1">
      <c r="A278" s="10" t="s">
        <v>316</v>
      </c>
      <c r="B278" s="98"/>
      <c r="C278" s="178" t="s">
        <v>318</v>
      </c>
      <c r="D278" s="98"/>
      <c r="E278" s="101"/>
      <c r="F278" s="130"/>
      <c r="G278" s="130"/>
    </row>
    <row r="279" spans="1:9" ht="15" customHeight="1">
      <c r="A279" s="10" t="s">
        <v>316</v>
      </c>
      <c r="B279" s="98"/>
      <c r="C279" s="178" t="s">
        <v>319</v>
      </c>
      <c r="D279" s="98"/>
      <c r="E279" s="101"/>
      <c r="F279" s="130"/>
      <c r="G279" s="130"/>
    </row>
    <row r="280" spans="1:9" ht="15" customHeight="1">
      <c r="A280" s="10">
        <v>2</v>
      </c>
      <c r="B280" s="98" t="s">
        <v>107</v>
      </c>
      <c r="C280" s="21" t="s">
        <v>319</v>
      </c>
      <c r="D280" s="98" t="s">
        <v>320</v>
      </c>
      <c r="E280" s="101">
        <v>184</v>
      </c>
      <c r="F280" s="130">
        <v>442.8</v>
      </c>
      <c r="G280" s="130">
        <f>E280*F280</f>
        <v>81475.199999999997</v>
      </c>
    </row>
    <row r="281" spans="1:9" ht="15" customHeight="1">
      <c r="A281" s="10" t="s">
        <v>316</v>
      </c>
      <c r="B281" s="98"/>
      <c r="C281" s="178" t="s">
        <v>321</v>
      </c>
      <c r="D281" s="98"/>
      <c r="E281" s="101"/>
      <c r="F281" s="130"/>
      <c r="G281" s="130"/>
    </row>
    <row r="282" spans="1:9" ht="24">
      <c r="A282" s="10">
        <v>3</v>
      </c>
      <c r="B282" s="98" t="s">
        <v>178</v>
      </c>
      <c r="C282" s="21" t="s">
        <v>322</v>
      </c>
      <c r="D282" s="98" t="s">
        <v>323</v>
      </c>
      <c r="E282" s="101">
        <v>1320</v>
      </c>
      <c r="F282" s="130">
        <v>3099.61</v>
      </c>
      <c r="G282" s="130">
        <f t="shared" ref="G282:G293" si="6">E282*F282</f>
        <v>4091485.2</v>
      </c>
    </row>
    <row r="283" spans="1:9" ht="15" customHeight="1">
      <c r="A283" s="10">
        <v>4</v>
      </c>
      <c r="B283" s="98" t="s">
        <v>324</v>
      </c>
      <c r="C283" s="21" t="s">
        <v>325</v>
      </c>
      <c r="D283" s="98" t="s">
        <v>323</v>
      </c>
      <c r="E283" s="101">
        <v>110</v>
      </c>
      <c r="F283" s="130">
        <v>5313.61</v>
      </c>
      <c r="G283" s="130">
        <f t="shared" si="6"/>
        <v>584497.1</v>
      </c>
    </row>
    <row r="284" spans="1:9" ht="15" customHeight="1">
      <c r="A284" s="10">
        <v>5</v>
      </c>
      <c r="B284" s="98" t="s">
        <v>172</v>
      </c>
      <c r="C284" s="21" t="s">
        <v>326</v>
      </c>
      <c r="D284" s="98" t="s">
        <v>323</v>
      </c>
      <c r="E284" s="101">
        <v>10</v>
      </c>
      <c r="F284" s="130">
        <v>7084.81</v>
      </c>
      <c r="G284" s="130">
        <f t="shared" si="6"/>
        <v>70848.100000000006</v>
      </c>
    </row>
    <row r="285" spans="1:9" ht="15" customHeight="1">
      <c r="A285" s="10">
        <v>6</v>
      </c>
      <c r="B285" s="98" t="s">
        <v>176</v>
      </c>
      <c r="C285" s="21" t="s">
        <v>177</v>
      </c>
      <c r="D285" s="98" t="s">
        <v>327</v>
      </c>
      <c r="E285" s="101">
        <v>1</v>
      </c>
      <c r="F285" s="130">
        <v>885601.63</v>
      </c>
      <c r="G285" s="130">
        <f t="shared" si="6"/>
        <v>885601.63</v>
      </c>
    </row>
    <row r="286" spans="1:9" ht="24">
      <c r="A286" s="10">
        <v>7</v>
      </c>
      <c r="B286" s="98" t="s">
        <v>328</v>
      </c>
      <c r="C286" s="21" t="s">
        <v>329</v>
      </c>
      <c r="D286" s="98" t="s">
        <v>327</v>
      </c>
      <c r="E286" s="101">
        <v>1</v>
      </c>
      <c r="F286" s="130">
        <v>4428008.17</v>
      </c>
      <c r="G286" s="130">
        <f t="shared" si="6"/>
        <v>4428008.17</v>
      </c>
      <c r="I286" s="537">
        <f>G286/30</f>
        <v>147600.26999999999</v>
      </c>
    </row>
    <row r="287" spans="1:9" ht="15" customHeight="1">
      <c r="A287" s="10">
        <v>8</v>
      </c>
      <c r="B287" s="98" t="s">
        <v>297</v>
      </c>
      <c r="C287" s="21" t="s">
        <v>298</v>
      </c>
      <c r="D287" s="98" t="s">
        <v>327</v>
      </c>
      <c r="E287" s="101">
        <v>1</v>
      </c>
      <c r="F287" s="130">
        <v>1771203.27</v>
      </c>
      <c r="G287" s="130">
        <f t="shared" si="6"/>
        <v>1771203.27</v>
      </c>
    </row>
    <row r="288" spans="1:9" ht="15" customHeight="1">
      <c r="A288" s="10" t="s">
        <v>316</v>
      </c>
      <c r="B288" s="98"/>
      <c r="C288" s="178" t="s">
        <v>330</v>
      </c>
      <c r="D288" s="98"/>
      <c r="E288" s="101"/>
      <c r="F288" s="130"/>
      <c r="G288" s="130">
        <f t="shared" si="6"/>
        <v>0</v>
      </c>
    </row>
    <row r="289" spans="1:7" ht="24">
      <c r="A289" s="10">
        <v>9</v>
      </c>
      <c r="B289" s="98" t="s">
        <v>275</v>
      </c>
      <c r="C289" s="21" t="s">
        <v>402</v>
      </c>
      <c r="D289" s="98" t="s">
        <v>323</v>
      </c>
      <c r="E289" s="101">
        <v>175</v>
      </c>
      <c r="F289" s="130">
        <v>28339.25</v>
      </c>
      <c r="G289" s="130">
        <f t="shared" si="6"/>
        <v>4959368.75</v>
      </c>
    </row>
    <row r="290" spans="1:7" ht="24">
      <c r="A290" s="10">
        <v>10</v>
      </c>
      <c r="B290" s="98" t="s">
        <v>277</v>
      </c>
      <c r="C290" s="21" t="s">
        <v>403</v>
      </c>
      <c r="D290" s="98" t="s">
        <v>323</v>
      </c>
      <c r="E290" s="101">
        <v>190</v>
      </c>
      <c r="F290" s="130">
        <v>26568.05</v>
      </c>
      <c r="G290" s="130">
        <f t="shared" si="6"/>
        <v>5047929.5</v>
      </c>
    </row>
    <row r="291" spans="1:7" ht="24">
      <c r="A291" s="10">
        <v>11</v>
      </c>
      <c r="B291" s="98" t="s">
        <v>333</v>
      </c>
      <c r="C291" s="21" t="s">
        <v>334</v>
      </c>
      <c r="D291" s="98" t="s">
        <v>323</v>
      </c>
      <c r="E291" s="101">
        <v>11</v>
      </c>
      <c r="F291" s="130">
        <v>22140.04</v>
      </c>
      <c r="G291" s="130">
        <f t="shared" si="6"/>
        <v>243540.44</v>
      </c>
    </row>
    <row r="292" spans="1:7" ht="13.5">
      <c r="A292" s="10">
        <v>12</v>
      </c>
      <c r="B292" s="98" t="s">
        <v>335</v>
      </c>
      <c r="C292" s="21" t="s">
        <v>336</v>
      </c>
      <c r="D292" s="98" t="s">
        <v>323</v>
      </c>
      <c r="E292" s="101">
        <v>13</v>
      </c>
      <c r="F292" s="130">
        <v>24796.85</v>
      </c>
      <c r="G292" s="130">
        <f t="shared" si="6"/>
        <v>322359.05</v>
      </c>
    </row>
    <row r="293" spans="1:7" ht="24">
      <c r="A293" s="10">
        <v>13</v>
      </c>
      <c r="B293" s="98" t="s">
        <v>404</v>
      </c>
      <c r="C293" s="21" t="s">
        <v>405</v>
      </c>
      <c r="D293" s="98" t="s">
        <v>323</v>
      </c>
      <c r="E293" s="101">
        <v>20</v>
      </c>
      <c r="F293" s="130">
        <v>26568.05</v>
      </c>
      <c r="G293" s="130">
        <f t="shared" si="6"/>
        <v>531361</v>
      </c>
    </row>
    <row r="294" spans="1:7" ht="15" customHeight="1">
      <c r="A294" s="706" t="s">
        <v>557</v>
      </c>
      <c r="B294" s="706"/>
      <c r="C294" s="706"/>
      <c r="D294" s="706"/>
      <c r="E294" s="706"/>
      <c r="F294" s="706"/>
      <c r="G294" s="166">
        <f>SUM(G273:G293)</f>
        <v>378452119.69</v>
      </c>
    </row>
    <row r="295" spans="1:7" ht="15" customHeight="1">
      <c r="A295" s="116"/>
      <c r="B295" s="116"/>
      <c r="C295" s="116"/>
      <c r="D295" s="116"/>
      <c r="E295" s="116"/>
      <c r="F295" s="116"/>
      <c r="G295" s="511"/>
    </row>
    <row r="296" spans="1:7" ht="15" customHeight="1">
      <c r="A296" s="116"/>
      <c r="B296" s="116"/>
      <c r="C296" s="116"/>
      <c r="D296" s="116"/>
      <c r="E296" s="116"/>
      <c r="F296" s="116"/>
      <c r="G296" s="511"/>
    </row>
    <row r="297" spans="1:7" ht="15" customHeight="1">
      <c r="A297" s="116"/>
      <c r="B297" s="116"/>
      <c r="C297" s="116"/>
      <c r="D297" s="116"/>
      <c r="E297" s="116"/>
      <c r="F297" s="116"/>
      <c r="G297" s="511"/>
    </row>
    <row r="298" spans="1:7" ht="15" customHeight="1">
      <c r="A298" s="116"/>
      <c r="B298" s="116"/>
      <c r="C298" s="116"/>
      <c r="D298" s="116"/>
      <c r="E298" s="116"/>
      <c r="F298" s="116"/>
      <c r="G298" s="511"/>
    </row>
    <row r="299" spans="1:7" ht="15" customHeight="1">
      <c r="A299" s="116"/>
      <c r="B299" s="116"/>
      <c r="C299" s="116"/>
      <c r="D299" s="116"/>
      <c r="E299" s="116"/>
      <c r="F299" s="116"/>
      <c r="G299" s="511"/>
    </row>
    <row r="300" spans="1:7" ht="15" customHeight="1">
      <c r="A300" s="116"/>
      <c r="B300" s="116"/>
      <c r="C300" s="116"/>
      <c r="D300" s="116"/>
      <c r="E300" s="116"/>
      <c r="F300" s="116"/>
      <c r="G300" s="511"/>
    </row>
    <row r="301" spans="1:7" ht="15" customHeight="1">
      <c r="A301" s="116"/>
      <c r="B301" s="116"/>
      <c r="C301" s="116"/>
      <c r="D301" s="116"/>
      <c r="E301" s="116"/>
      <c r="F301" s="116"/>
      <c r="G301" s="511"/>
    </row>
    <row r="302" spans="1:7" ht="15" customHeight="1">
      <c r="A302" s="116"/>
      <c r="B302" s="116"/>
      <c r="C302" s="116"/>
      <c r="D302" s="116"/>
      <c r="E302" s="116"/>
      <c r="F302" s="116"/>
      <c r="G302" s="511"/>
    </row>
    <row r="303" spans="1:7" ht="15" customHeight="1">
      <c r="A303" s="116"/>
      <c r="B303" s="116"/>
      <c r="C303" s="116"/>
      <c r="D303" s="116"/>
      <c r="E303" s="116"/>
      <c r="F303" s="116"/>
      <c r="G303" s="511"/>
    </row>
    <row r="304" spans="1:7" ht="15" customHeight="1">
      <c r="A304" s="116"/>
      <c r="B304" s="116"/>
      <c r="C304" s="116"/>
      <c r="D304" s="116"/>
      <c r="E304" s="116"/>
      <c r="F304" s="116"/>
      <c r="G304" s="511"/>
    </row>
    <row r="305" spans="1:7" ht="15" customHeight="1">
      <c r="A305" s="116"/>
      <c r="B305" s="116"/>
      <c r="C305" s="116"/>
      <c r="D305" s="116"/>
      <c r="E305" s="116"/>
      <c r="F305" s="116"/>
      <c r="G305" s="511"/>
    </row>
    <row r="306" spans="1:7" ht="15" customHeight="1">
      <c r="A306" s="116"/>
      <c r="B306" s="116"/>
      <c r="C306" s="116"/>
      <c r="D306" s="116"/>
      <c r="E306" s="116"/>
      <c r="F306" s="116"/>
      <c r="G306" s="511"/>
    </row>
    <row r="307" spans="1:7" ht="15" customHeight="1">
      <c r="A307" s="116"/>
      <c r="B307" s="116"/>
      <c r="C307" s="116"/>
      <c r="D307" s="116"/>
      <c r="E307" s="116"/>
      <c r="F307" s="116"/>
      <c r="G307" s="511"/>
    </row>
    <row r="308" spans="1:7" ht="15" customHeight="1">
      <c r="A308" s="116"/>
      <c r="B308" s="116"/>
      <c r="C308" s="116"/>
      <c r="D308" s="116"/>
      <c r="E308" s="116"/>
      <c r="F308" s="116"/>
      <c r="G308" s="511"/>
    </row>
    <row r="309" spans="1:7" ht="15" customHeight="1">
      <c r="A309" s="116"/>
      <c r="B309" s="116"/>
      <c r="C309" s="116"/>
      <c r="D309" s="116"/>
      <c r="E309" s="116"/>
      <c r="F309" s="116"/>
      <c r="G309" s="511"/>
    </row>
    <row r="310" spans="1:7" ht="15" customHeight="1">
      <c r="A310" s="116"/>
      <c r="B310" s="116"/>
      <c r="C310" s="116"/>
      <c r="D310" s="116"/>
      <c r="E310" s="116"/>
      <c r="F310" s="116"/>
      <c r="G310" s="511"/>
    </row>
    <row r="311" spans="1:7" ht="13.5">
      <c r="A311" s="116"/>
      <c r="B311" s="117"/>
      <c r="C311" s="118"/>
      <c r="D311" s="119"/>
      <c r="E311" s="119"/>
      <c r="F311" s="119"/>
      <c r="G311" s="120"/>
    </row>
    <row r="312" spans="1:7" s="1" customFormat="1" ht="20.25" customHeight="1">
      <c r="A312" s="121"/>
      <c r="B312" s="122"/>
      <c r="C312" s="122"/>
      <c r="D312" s="123"/>
      <c r="E312" s="123"/>
      <c r="F312" s="123"/>
      <c r="G312" s="121"/>
    </row>
    <row r="313" spans="1:7" ht="13.5">
      <c r="A313" s="124"/>
      <c r="B313" s="117"/>
      <c r="C313" s="118"/>
      <c r="D313" s="119"/>
      <c r="E313" s="119"/>
      <c r="F313" s="119"/>
      <c r="G313" s="120"/>
    </row>
    <row r="314" spans="1:7" ht="13.5">
      <c r="A314" s="116"/>
      <c r="B314" s="117"/>
      <c r="C314" s="118"/>
      <c r="D314" s="119"/>
      <c r="E314" s="119"/>
      <c r="F314" s="119"/>
      <c r="G314" s="120"/>
    </row>
    <row r="315" spans="1:7" ht="15" customHeight="1">
      <c r="A315" s="706" t="s">
        <v>558</v>
      </c>
      <c r="B315" s="706"/>
      <c r="C315" s="706"/>
      <c r="D315" s="706"/>
      <c r="E315" s="706"/>
      <c r="F315" s="706"/>
      <c r="G315" s="94">
        <f>G294</f>
        <v>378452119.69</v>
      </c>
    </row>
    <row r="316" spans="1:7" ht="15" customHeight="1">
      <c r="A316" s="10" t="s">
        <v>316</v>
      </c>
      <c r="B316" s="98"/>
      <c r="C316" s="178" t="s">
        <v>337</v>
      </c>
      <c r="D316" s="98"/>
      <c r="E316" s="9"/>
      <c r="F316" s="127"/>
      <c r="G316" s="127"/>
    </row>
    <row r="317" spans="1:7" ht="24">
      <c r="A317" s="10">
        <v>14</v>
      </c>
      <c r="B317" s="163" t="s">
        <v>255</v>
      </c>
      <c r="C317" s="173" t="s">
        <v>406</v>
      </c>
      <c r="D317" s="163" t="s">
        <v>320</v>
      </c>
      <c r="E317" s="13">
        <v>95</v>
      </c>
      <c r="F317" s="130">
        <v>2656.8</v>
      </c>
      <c r="G317" s="130">
        <f>E317*F317</f>
        <v>252396</v>
      </c>
    </row>
    <row r="318" spans="1:7" ht="13.5">
      <c r="A318" s="98">
        <v>15</v>
      </c>
      <c r="B318" s="98" t="s">
        <v>339</v>
      </c>
      <c r="C318" s="21" t="s">
        <v>407</v>
      </c>
      <c r="D318" s="98" t="s">
        <v>320</v>
      </c>
      <c r="E318" s="101">
        <v>490</v>
      </c>
      <c r="F318" s="130">
        <v>2656.8</v>
      </c>
      <c r="G318" s="130">
        <f>E318*F318</f>
        <v>1301832</v>
      </c>
    </row>
    <row r="319" spans="1:7" ht="34.5" customHeight="1">
      <c r="A319" s="10">
        <v>16</v>
      </c>
      <c r="B319" s="98" t="s">
        <v>361</v>
      </c>
      <c r="C319" s="21" t="s">
        <v>408</v>
      </c>
      <c r="D319" s="98" t="s">
        <v>320</v>
      </c>
      <c r="E319" s="101">
        <v>89</v>
      </c>
      <c r="F319" s="130">
        <v>2656.8</v>
      </c>
      <c r="G319" s="130">
        <f>E319*F319</f>
        <v>236455.2</v>
      </c>
    </row>
    <row r="320" spans="1:7" s="181" customFormat="1" ht="15" customHeight="1">
      <c r="A320" s="176" t="s">
        <v>316</v>
      </c>
      <c r="B320" s="177"/>
      <c r="C320" s="178" t="s">
        <v>341</v>
      </c>
      <c r="D320" s="177"/>
      <c r="E320" s="179"/>
      <c r="F320" s="180"/>
      <c r="G320" s="180"/>
    </row>
    <row r="321" spans="1:7" ht="34.5" customHeight="1">
      <c r="A321" s="10">
        <v>17</v>
      </c>
      <c r="B321" s="98" t="s">
        <v>342</v>
      </c>
      <c r="C321" s="21" t="s">
        <v>409</v>
      </c>
      <c r="D321" s="98" t="s">
        <v>344</v>
      </c>
      <c r="E321" s="101">
        <v>14</v>
      </c>
      <c r="F321" s="130">
        <v>287820.53000000003</v>
      </c>
      <c r="G321" s="130">
        <f t="shared" ref="G321:G330" si="7">E321*F321</f>
        <v>4029487.42</v>
      </c>
    </row>
    <row r="322" spans="1:7" ht="24">
      <c r="A322" s="10">
        <v>18</v>
      </c>
      <c r="B322" s="98" t="s">
        <v>345</v>
      </c>
      <c r="C322" s="21" t="s">
        <v>410</v>
      </c>
      <c r="D322" s="98" t="s">
        <v>344</v>
      </c>
      <c r="E322" s="101">
        <v>16</v>
      </c>
      <c r="F322" s="130">
        <v>287820.53000000003</v>
      </c>
      <c r="G322" s="130">
        <f t="shared" si="7"/>
        <v>4605128.4800000004</v>
      </c>
    </row>
    <row r="323" spans="1:7" ht="24">
      <c r="A323" s="10">
        <v>19</v>
      </c>
      <c r="B323" s="98" t="s">
        <v>347</v>
      </c>
      <c r="C323" s="21" t="s">
        <v>411</v>
      </c>
      <c r="D323" s="98" t="s">
        <v>344</v>
      </c>
      <c r="E323" s="101">
        <v>0.2</v>
      </c>
      <c r="F323" s="130">
        <v>287820.55</v>
      </c>
      <c r="G323" s="130">
        <f t="shared" si="7"/>
        <v>57564.11</v>
      </c>
    </row>
    <row r="324" spans="1:7" ht="46.5" customHeight="1">
      <c r="A324" s="10">
        <v>20</v>
      </c>
      <c r="B324" s="98" t="s">
        <v>412</v>
      </c>
      <c r="C324" s="21" t="s">
        <v>413</v>
      </c>
      <c r="D324" s="98" t="s">
        <v>344</v>
      </c>
      <c r="E324" s="101">
        <v>2.75</v>
      </c>
      <c r="F324" s="130">
        <v>287820.53000000003</v>
      </c>
      <c r="G324" s="130">
        <f t="shared" si="7"/>
        <v>791506.46</v>
      </c>
    </row>
    <row r="325" spans="1:7" s="181" customFormat="1" ht="15" customHeight="1">
      <c r="A325" s="176" t="s">
        <v>316</v>
      </c>
      <c r="B325" s="177"/>
      <c r="C325" s="178" t="s">
        <v>349</v>
      </c>
      <c r="D325" s="177"/>
      <c r="E325" s="179"/>
      <c r="F325" s="180"/>
      <c r="G325" s="130">
        <f t="shared" si="7"/>
        <v>0</v>
      </c>
    </row>
    <row r="326" spans="1:7" ht="36">
      <c r="A326" s="10">
        <v>21</v>
      </c>
      <c r="B326" s="98" t="s">
        <v>269</v>
      </c>
      <c r="C326" s="21" t="s">
        <v>350</v>
      </c>
      <c r="D326" s="98" t="s">
        <v>351</v>
      </c>
      <c r="E326" s="101">
        <v>110</v>
      </c>
      <c r="F326" s="130">
        <v>2214</v>
      </c>
      <c r="G326" s="130">
        <f t="shared" si="7"/>
        <v>243540</v>
      </c>
    </row>
    <row r="327" spans="1:7" s="181" customFormat="1" ht="15" customHeight="1">
      <c r="A327" s="176" t="s">
        <v>316</v>
      </c>
      <c r="B327" s="177"/>
      <c r="C327" s="178" t="s">
        <v>352</v>
      </c>
      <c r="D327" s="177"/>
      <c r="E327" s="179"/>
      <c r="F327" s="180"/>
      <c r="G327" s="130">
        <f t="shared" si="7"/>
        <v>0</v>
      </c>
    </row>
    <row r="328" spans="1:7" ht="24">
      <c r="A328" s="10">
        <v>22</v>
      </c>
      <c r="B328" s="98" t="s">
        <v>263</v>
      </c>
      <c r="C328" s="21" t="s">
        <v>353</v>
      </c>
      <c r="D328" s="98" t="s">
        <v>323</v>
      </c>
      <c r="E328" s="101">
        <v>25</v>
      </c>
      <c r="F328" s="130">
        <v>5313.61</v>
      </c>
      <c r="G328" s="130">
        <f t="shared" si="7"/>
        <v>132840.25</v>
      </c>
    </row>
    <row r="329" spans="1:7" ht="24">
      <c r="A329" s="10">
        <v>23</v>
      </c>
      <c r="B329" s="98" t="s">
        <v>265</v>
      </c>
      <c r="C329" s="21" t="s">
        <v>354</v>
      </c>
      <c r="D329" s="98" t="s">
        <v>323</v>
      </c>
      <c r="E329" s="101">
        <v>4</v>
      </c>
      <c r="F329" s="130">
        <v>6199.21</v>
      </c>
      <c r="G329" s="130">
        <f t="shared" si="7"/>
        <v>24796.84</v>
      </c>
    </row>
    <row r="330" spans="1:7" ht="24">
      <c r="A330" s="10">
        <v>24</v>
      </c>
      <c r="B330" s="98" t="s">
        <v>267</v>
      </c>
      <c r="C330" s="21" t="s">
        <v>355</v>
      </c>
      <c r="D330" s="98" t="s">
        <v>323</v>
      </c>
      <c r="E330" s="101">
        <v>3</v>
      </c>
      <c r="F330" s="130">
        <v>3542.41</v>
      </c>
      <c r="G330" s="130">
        <f t="shared" si="7"/>
        <v>10627.23</v>
      </c>
    </row>
    <row r="331" spans="1:7" ht="15" customHeight="1">
      <c r="A331" s="14"/>
      <c r="B331" s="165"/>
      <c r="C331" s="175"/>
      <c r="D331" s="165"/>
      <c r="E331" s="106"/>
      <c r="F331" s="138"/>
      <c r="G331" s="138"/>
    </row>
    <row r="332" spans="1:7" ht="15" customHeight="1">
      <c r="A332" s="706" t="s">
        <v>557</v>
      </c>
      <c r="B332" s="706"/>
      <c r="C332" s="706"/>
      <c r="D332" s="706"/>
      <c r="E332" s="706"/>
      <c r="F332" s="706"/>
      <c r="G332" s="166">
        <f>SUM(G315:G331)</f>
        <v>390138293.68000001</v>
      </c>
    </row>
    <row r="333" spans="1:7" ht="15" customHeight="1">
      <c r="A333" s="116"/>
      <c r="B333" s="116"/>
      <c r="C333" s="116"/>
      <c r="D333" s="116"/>
      <c r="E333" s="116"/>
      <c r="F333" s="116"/>
      <c r="G333" s="511"/>
    </row>
    <row r="334" spans="1:7" ht="15" customHeight="1">
      <c r="A334" s="116"/>
      <c r="B334" s="116"/>
      <c r="C334" s="116"/>
      <c r="D334" s="116"/>
      <c r="E334" s="116"/>
      <c r="F334" s="116"/>
      <c r="G334" s="511"/>
    </row>
    <row r="335" spans="1:7" ht="15" customHeight="1">
      <c r="A335" s="116"/>
      <c r="B335" s="116"/>
      <c r="C335" s="116"/>
      <c r="D335" s="116"/>
      <c r="E335" s="116"/>
      <c r="F335" s="116"/>
      <c r="G335" s="511"/>
    </row>
    <row r="336" spans="1:7" ht="15" customHeight="1">
      <c r="A336" s="116"/>
      <c r="B336" s="116"/>
      <c r="C336" s="116"/>
      <c r="D336" s="116"/>
      <c r="E336" s="116"/>
      <c r="F336" s="116"/>
      <c r="G336" s="511"/>
    </row>
    <row r="337" spans="1:7" ht="15" customHeight="1">
      <c r="A337" s="116"/>
      <c r="B337" s="116"/>
      <c r="C337" s="116"/>
      <c r="D337" s="116"/>
      <c r="E337" s="116"/>
      <c r="F337" s="116"/>
      <c r="G337" s="511"/>
    </row>
    <row r="338" spans="1:7" ht="15" customHeight="1">
      <c r="A338" s="116"/>
      <c r="B338" s="116"/>
      <c r="C338" s="116"/>
      <c r="D338" s="116"/>
      <c r="E338" s="116"/>
      <c r="F338" s="116"/>
      <c r="G338" s="511"/>
    </row>
    <row r="339" spans="1:7" ht="15" customHeight="1">
      <c r="A339" s="116"/>
      <c r="B339" s="116"/>
      <c r="C339" s="116"/>
      <c r="D339" s="116"/>
      <c r="E339" s="116"/>
      <c r="F339" s="116"/>
      <c r="G339" s="511"/>
    </row>
    <row r="340" spans="1:7" ht="15" customHeight="1">
      <c r="A340" s="116"/>
      <c r="B340" s="116"/>
      <c r="C340" s="116"/>
      <c r="D340" s="116"/>
      <c r="E340" s="116"/>
      <c r="F340" s="116"/>
      <c r="G340" s="511"/>
    </row>
    <row r="341" spans="1:7" ht="15" customHeight="1">
      <c r="A341" s="116"/>
      <c r="B341" s="116"/>
      <c r="C341" s="116"/>
      <c r="D341" s="116"/>
      <c r="E341" s="116"/>
      <c r="F341" s="116"/>
      <c r="G341" s="511"/>
    </row>
    <row r="342" spans="1:7" ht="15" customHeight="1">
      <c r="A342" s="116"/>
      <c r="B342" s="116"/>
      <c r="C342" s="116"/>
      <c r="D342" s="116"/>
      <c r="E342" s="116"/>
      <c r="F342" s="116"/>
      <c r="G342" s="511"/>
    </row>
    <row r="343" spans="1:7" ht="15" customHeight="1">
      <c r="A343" s="116"/>
      <c r="B343" s="116"/>
      <c r="C343" s="116"/>
      <c r="D343" s="116"/>
      <c r="E343" s="116"/>
      <c r="F343" s="116"/>
      <c r="G343" s="511"/>
    </row>
    <row r="344" spans="1:7" ht="15" customHeight="1">
      <c r="A344" s="116"/>
      <c r="B344" s="116"/>
      <c r="C344" s="116"/>
      <c r="D344" s="116"/>
      <c r="E344" s="116"/>
      <c r="F344" s="116"/>
      <c r="G344" s="511"/>
    </row>
    <row r="345" spans="1:7" ht="15" customHeight="1">
      <c r="A345" s="116"/>
      <c r="B345" s="116"/>
      <c r="C345" s="116"/>
      <c r="D345" s="116"/>
      <c r="E345" s="116"/>
      <c r="F345" s="116"/>
      <c r="G345" s="511"/>
    </row>
    <row r="346" spans="1:7" ht="15" customHeight="1">
      <c r="A346" s="116"/>
      <c r="B346" s="116"/>
      <c r="C346" s="116"/>
      <c r="D346" s="116"/>
      <c r="E346" s="116"/>
      <c r="F346" s="116"/>
      <c r="G346" s="511"/>
    </row>
    <row r="347" spans="1:7" ht="15" customHeight="1">
      <c r="A347" s="116"/>
      <c r="B347" s="116"/>
      <c r="C347" s="116"/>
      <c r="D347" s="116"/>
      <c r="E347" s="116"/>
      <c r="F347" s="116"/>
      <c r="G347" s="511"/>
    </row>
    <row r="348" spans="1:7" ht="15" customHeight="1">
      <c r="A348" s="116"/>
      <c r="B348" s="116"/>
      <c r="C348" s="116"/>
      <c r="D348" s="116"/>
      <c r="E348" s="116"/>
      <c r="F348" s="116"/>
      <c r="G348" s="511"/>
    </row>
    <row r="349" spans="1:7" ht="13.5">
      <c r="A349" s="116"/>
      <c r="B349" s="117"/>
      <c r="C349" s="118"/>
      <c r="D349" s="119"/>
      <c r="E349" s="119"/>
      <c r="F349" s="119"/>
      <c r="G349" s="120"/>
    </row>
    <row r="350" spans="1:7" s="1" customFormat="1" ht="23.25" customHeight="1">
      <c r="A350" s="121"/>
      <c r="B350" s="122"/>
      <c r="C350" s="122"/>
      <c r="D350" s="123"/>
      <c r="E350" s="123"/>
      <c r="F350" s="123"/>
      <c r="G350" s="121"/>
    </row>
    <row r="351" spans="1:7" ht="13.5">
      <c r="A351" s="124"/>
      <c r="B351" s="117"/>
      <c r="C351" s="118"/>
      <c r="D351" s="119"/>
      <c r="E351" s="119"/>
      <c r="F351" s="119"/>
      <c r="G351" s="120"/>
    </row>
    <row r="352" spans="1:7" ht="13.5">
      <c r="A352" s="116"/>
      <c r="B352" s="117"/>
      <c r="C352" s="118"/>
      <c r="D352" s="119"/>
      <c r="E352" s="119"/>
      <c r="F352" s="119"/>
      <c r="G352" s="120"/>
    </row>
    <row r="353" spans="1:7" ht="15" customHeight="1">
      <c r="A353" s="706" t="s">
        <v>558</v>
      </c>
      <c r="B353" s="706"/>
      <c r="C353" s="706"/>
      <c r="D353" s="706"/>
      <c r="E353" s="706"/>
      <c r="F353" s="706"/>
      <c r="G353" s="94">
        <f>G332</f>
        <v>390138293.68000001</v>
      </c>
    </row>
    <row r="354" spans="1:7" ht="15" customHeight="1">
      <c r="A354" s="10" t="s">
        <v>316</v>
      </c>
      <c r="B354" s="98"/>
      <c r="C354" s="178" t="s">
        <v>356</v>
      </c>
      <c r="D354" s="98"/>
      <c r="E354" s="9"/>
      <c r="F354" s="127"/>
      <c r="G354" s="127"/>
    </row>
    <row r="355" spans="1:7" s="181" customFormat="1" ht="15" customHeight="1">
      <c r="A355" s="176" t="s">
        <v>316</v>
      </c>
      <c r="B355" s="189"/>
      <c r="C355" s="190" t="s">
        <v>330</v>
      </c>
      <c r="D355" s="189"/>
      <c r="E355" s="187"/>
      <c r="F355" s="180"/>
      <c r="G355" s="180"/>
    </row>
    <row r="356" spans="1:7" ht="36">
      <c r="A356" s="98">
        <v>1</v>
      </c>
      <c r="B356" s="98" t="s">
        <v>275</v>
      </c>
      <c r="C356" s="21" t="s">
        <v>414</v>
      </c>
      <c r="D356" s="98" t="s">
        <v>323</v>
      </c>
      <c r="E356" s="101">
        <v>90</v>
      </c>
      <c r="F356" s="130">
        <v>30996.06</v>
      </c>
      <c r="G356" s="130">
        <f>E356*F356</f>
        <v>2789645.4</v>
      </c>
    </row>
    <row r="357" spans="1:7" ht="24">
      <c r="A357" s="10">
        <v>2</v>
      </c>
      <c r="B357" s="98" t="s">
        <v>335</v>
      </c>
      <c r="C357" s="21" t="s">
        <v>358</v>
      </c>
      <c r="D357" s="98" t="s">
        <v>323</v>
      </c>
      <c r="E357" s="101">
        <v>27</v>
      </c>
      <c r="F357" s="130">
        <v>24796.85</v>
      </c>
      <c r="G357" s="130">
        <f>E357*F357</f>
        <v>669514.94999999995</v>
      </c>
    </row>
    <row r="358" spans="1:7" s="181" customFormat="1" ht="15" customHeight="1">
      <c r="A358" s="176" t="s">
        <v>316</v>
      </c>
      <c r="B358" s="177"/>
      <c r="C358" s="178" t="s">
        <v>337</v>
      </c>
      <c r="D358" s="177"/>
      <c r="E358" s="179"/>
      <c r="F358" s="180"/>
      <c r="G358" s="180"/>
    </row>
    <row r="359" spans="1:7" ht="24">
      <c r="A359" s="10">
        <v>4</v>
      </c>
      <c r="B359" s="98" t="s">
        <v>361</v>
      </c>
      <c r="C359" s="21" t="s">
        <v>415</v>
      </c>
      <c r="D359" s="98" t="s">
        <v>320</v>
      </c>
      <c r="E359" s="101">
        <v>60</v>
      </c>
      <c r="F359" s="130">
        <v>2656.8</v>
      </c>
      <c r="G359" s="130">
        <f>E359*F359</f>
        <v>159408</v>
      </c>
    </row>
    <row r="360" spans="1:7" s="181" customFormat="1" ht="15" customHeight="1">
      <c r="A360" s="176"/>
      <c r="B360" s="177"/>
      <c r="C360" s="178" t="s">
        <v>341</v>
      </c>
      <c r="D360" s="177"/>
      <c r="E360" s="179"/>
      <c r="F360" s="180"/>
      <c r="G360" s="180"/>
    </row>
    <row r="361" spans="1:7" ht="24">
      <c r="A361" s="10">
        <v>5</v>
      </c>
      <c r="B361" s="98" t="s">
        <v>345</v>
      </c>
      <c r="C361" s="21" t="s">
        <v>416</v>
      </c>
      <c r="D361" s="98" t="s">
        <v>344</v>
      </c>
      <c r="E361" s="101">
        <v>0.4</v>
      </c>
      <c r="F361" s="130">
        <v>287820.53000000003</v>
      </c>
      <c r="G361" s="130">
        <f>E361*F361</f>
        <v>115128.21</v>
      </c>
    </row>
    <row r="362" spans="1:7" ht="24">
      <c r="A362" s="10">
        <v>6</v>
      </c>
      <c r="B362" s="98" t="s">
        <v>342</v>
      </c>
      <c r="C362" s="21" t="s">
        <v>417</v>
      </c>
      <c r="D362" s="98" t="s">
        <v>344</v>
      </c>
      <c r="E362" s="101">
        <v>3.5</v>
      </c>
      <c r="F362" s="130">
        <v>287820.53000000003</v>
      </c>
      <c r="G362" s="130">
        <f>E362*F362</f>
        <v>1007371.86</v>
      </c>
    </row>
    <row r="363" spans="1:7" s="181" customFormat="1" ht="15" customHeight="1">
      <c r="A363" s="176"/>
      <c r="B363" s="177"/>
      <c r="C363" s="178" t="s">
        <v>418</v>
      </c>
      <c r="D363" s="177"/>
      <c r="E363" s="179"/>
      <c r="F363" s="180"/>
      <c r="G363" s="180"/>
    </row>
    <row r="364" spans="1:7" ht="24">
      <c r="A364" s="10">
        <v>7</v>
      </c>
      <c r="B364" s="98" t="s">
        <v>419</v>
      </c>
      <c r="C364" s="21" t="s">
        <v>420</v>
      </c>
      <c r="D364" s="98" t="s">
        <v>370</v>
      </c>
      <c r="E364" s="101">
        <v>19</v>
      </c>
      <c r="F364" s="130">
        <v>309960.57</v>
      </c>
      <c r="G364" s="130">
        <f>E364*F364</f>
        <v>5889250.8300000001</v>
      </c>
    </row>
    <row r="365" spans="1:7" ht="24">
      <c r="A365" s="10">
        <v>8</v>
      </c>
      <c r="B365" s="98" t="s">
        <v>421</v>
      </c>
      <c r="C365" s="21" t="s">
        <v>422</v>
      </c>
      <c r="D365" s="98" t="s">
        <v>370</v>
      </c>
      <c r="E365" s="101">
        <v>19</v>
      </c>
      <c r="F365" s="130">
        <v>132840.24</v>
      </c>
      <c r="G365" s="130">
        <f>E365*F365</f>
        <v>2523964.56</v>
      </c>
    </row>
    <row r="366" spans="1:7" s="181" customFormat="1" ht="15" customHeight="1">
      <c r="A366" s="176" t="s">
        <v>316</v>
      </c>
      <c r="B366" s="177"/>
      <c r="C366" s="178" t="s">
        <v>365</v>
      </c>
      <c r="D366" s="177"/>
      <c r="E366" s="179"/>
      <c r="F366" s="180"/>
      <c r="G366" s="180"/>
    </row>
    <row r="367" spans="1:7" ht="42.75" customHeight="1">
      <c r="A367" s="10">
        <v>9</v>
      </c>
      <c r="B367" s="98" t="s">
        <v>366</v>
      </c>
      <c r="C367" s="191" t="s">
        <v>367</v>
      </c>
      <c r="D367" s="98" t="s">
        <v>351</v>
      </c>
      <c r="E367" s="101">
        <v>35</v>
      </c>
      <c r="F367" s="130">
        <v>22140.04</v>
      </c>
      <c r="G367" s="130">
        <f>E367*F367</f>
        <v>774901.4</v>
      </c>
    </row>
    <row r="368" spans="1:7" ht="24">
      <c r="A368" s="10">
        <v>10</v>
      </c>
      <c r="B368" s="98" t="s">
        <v>368</v>
      </c>
      <c r="C368" s="21" t="s">
        <v>369</v>
      </c>
      <c r="D368" s="98" t="s">
        <v>370</v>
      </c>
      <c r="E368" s="101">
        <v>4</v>
      </c>
      <c r="F368" s="130">
        <v>177120.33</v>
      </c>
      <c r="G368" s="130">
        <f>E368*F368</f>
        <v>708481.32</v>
      </c>
    </row>
    <row r="369" spans="1:7" s="181" customFormat="1" ht="15" customHeight="1">
      <c r="A369" s="176" t="s">
        <v>316</v>
      </c>
      <c r="B369" s="177"/>
      <c r="C369" s="178" t="s">
        <v>375</v>
      </c>
      <c r="D369" s="177"/>
      <c r="E369" s="179"/>
      <c r="F369" s="180"/>
      <c r="G369" s="180"/>
    </row>
    <row r="370" spans="1:7" ht="36">
      <c r="A370" s="10">
        <v>11</v>
      </c>
      <c r="B370" s="98" t="s">
        <v>376</v>
      </c>
      <c r="C370" s="21" t="s">
        <v>377</v>
      </c>
      <c r="D370" s="98" t="s">
        <v>351</v>
      </c>
      <c r="E370" s="101">
        <v>40</v>
      </c>
      <c r="F370" s="130">
        <v>3099.61</v>
      </c>
      <c r="G370" s="130">
        <f>E370*F370</f>
        <v>123984.4</v>
      </c>
    </row>
    <row r="371" spans="1:7" ht="24">
      <c r="A371" s="10">
        <v>12</v>
      </c>
      <c r="B371" s="98" t="s">
        <v>378</v>
      </c>
      <c r="C371" s="21" t="s">
        <v>379</v>
      </c>
      <c r="D371" s="98" t="s">
        <v>351</v>
      </c>
      <c r="E371" s="101">
        <v>20</v>
      </c>
      <c r="F371" s="130">
        <v>2656.8</v>
      </c>
      <c r="G371" s="130">
        <f>E371*F371</f>
        <v>53136</v>
      </c>
    </row>
    <row r="372" spans="1:7" ht="15" customHeight="1">
      <c r="A372" s="706" t="s">
        <v>557</v>
      </c>
      <c r="B372" s="706"/>
      <c r="C372" s="706"/>
      <c r="D372" s="706"/>
      <c r="E372" s="706"/>
      <c r="F372" s="706"/>
      <c r="G372" s="166">
        <f>SUM(G353:G371)</f>
        <v>404953080.61000001</v>
      </c>
    </row>
    <row r="373" spans="1:7" ht="15" customHeight="1">
      <c r="A373" s="116"/>
      <c r="B373" s="116"/>
      <c r="C373" s="116"/>
      <c r="D373" s="116"/>
      <c r="E373" s="116"/>
      <c r="F373" s="116"/>
      <c r="G373" s="511"/>
    </row>
    <row r="374" spans="1:7" ht="15" customHeight="1">
      <c r="A374" s="116"/>
      <c r="B374" s="116"/>
      <c r="C374" s="116"/>
      <c r="D374" s="116"/>
      <c r="E374" s="116"/>
      <c r="F374" s="116"/>
      <c r="G374" s="511"/>
    </row>
    <row r="375" spans="1:7" ht="15" customHeight="1">
      <c r="A375" s="116"/>
      <c r="B375" s="116"/>
      <c r="C375" s="116"/>
      <c r="D375" s="116"/>
      <c r="E375" s="116"/>
      <c r="F375" s="116"/>
      <c r="G375" s="511"/>
    </row>
    <row r="376" spans="1:7" ht="15" customHeight="1">
      <c r="A376" s="116"/>
      <c r="B376" s="116"/>
      <c r="C376" s="116"/>
      <c r="D376" s="116"/>
      <c r="E376" s="116"/>
      <c r="F376" s="116"/>
      <c r="G376" s="511"/>
    </row>
    <row r="377" spans="1:7" ht="15" customHeight="1">
      <c r="A377" s="116"/>
      <c r="B377" s="116"/>
      <c r="C377" s="116"/>
      <c r="D377" s="116"/>
      <c r="E377" s="116"/>
      <c r="F377" s="116"/>
      <c r="G377" s="511"/>
    </row>
    <row r="378" spans="1:7" ht="15" customHeight="1">
      <c r="A378" s="116"/>
      <c r="B378" s="116"/>
      <c r="C378" s="116"/>
      <c r="D378" s="116"/>
      <c r="E378" s="116"/>
      <c r="F378" s="116"/>
      <c r="G378" s="511"/>
    </row>
    <row r="379" spans="1:7" ht="15" customHeight="1">
      <c r="A379" s="116"/>
      <c r="B379" s="116"/>
      <c r="C379" s="116"/>
      <c r="D379" s="116"/>
      <c r="E379" s="116"/>
      <c r="F379" s="116"/>
      <c r="G379" s="511"/>
    </row>
    <row r="380" spans="1:7" ht="15" customHeight="1">
      <c r="A380" s="116"/>
      <c r="B380" s="116"/>
      <c r="C380" s="116"/>
      <c r="D380" s="116"/>
      <c r="E380" s="116"/>
      <c r="F380" s="116"/>
      <c r="G380" s="511"/>
    </row>
    <row r="381" spans="1:7" ht="15" customHeight="1">
      <c r="A381" s="116"/>
      <c r="B381" s="116"/>
      <c r="C381" s="116"/>
      <c r="D381" s="116"/>
      <c r="E381" s="116"/>
      <c r="F381" s="116"/>
      <c r="G381" s="511"/>
    </row>
    <row r="382" spans="1:7" ht="15" customHeight="1">
      <c r="A382" s="116"/>
      <c r="B382" s="116"/>
      <c r="C382" s="116"/>
      <c r="D382" s="116"/>
      <c r="E382" s="116"/>
      <c r="F382" s="116"/>
      <c r="G382" s="511"/>
    </row>
    <row r="383" spans="1:7" ht="15" customHeight="1">
      <c r="A383" s="116"/>
      <c r="B383" s="116"/>
      <c r="C383" s="116"/>
      <c r="D383" s="116"/>
      <c r="E383" s="116"/>
      <c r="F383" s="116"/>
      <c r="G383" s="511"/>
    </row>
    <row r="384" spans="1:7" ht="15" customHeight="1">
      <c r="A384" s="116"/>
      <c r="B384" s="116"/>
      <c r="C384" s="116"/>
      <c r="D384" s="116"/>
      <c r="E384" s="116"/>
      <c r="F384" s="116"/>
      <c r="G384" s="511"/>
    </row>
    <row r="385" spans="1:7" ht="15" customHeight="1">
      <c r="A385" s="116"/>
      <c r="B385" s="116"/>
      <c r="C385" s="116"/>
      <c r="D385" s="116"/>
      <c r="E385" s="116"/>
      <c r="F385" s="116"/>
      <c r="G385" s="511"/>
    </row>
    <row r="386" spans="1:7" ht="15" customHeight="1">
      <c r="A386" s="116"/>
      <c r="B386" s="116"/>
      <c r="C386" s="116"/>
      <c r="D386" s="116"/>
      <c r="E386" s="116"/>
      <c r="F386" s="116"/>
      <c r="G386" s="511"/>
    </row>
    <row r="387" spans="1:7" ht="15" customHeight="1">
      <c r="A387" s="116"/>
      <c r="B387" s="116"/>
      <c r="C387" s="116"/>
      <c r="D387" s="116"/>
      <c r="E387" s="116"/>
      <c r="F387" s="116"/>
      <c r="G387" s="511"/>
    </row>
    <row r="388" spans="1:7" ht="15" customHeight="1">
      <c r="A388" s="116"/>
      <c r="B388" s="116"/>
      <c r="C388" s="116"/>
      <c r="D388" s="116"/>
      <c r="E388" s="116"/>
      <c r="F388" s="116"/>
      <c r="G388" s="511"/>
    </row>
    <row r="389" spans="1:7" ht="13.5">
      <c r="A389" s="116"/>
      <c r="B389" s="117"/>
      <c r="C389" s="118"/>
      <c r="D389" s="119"/>
      <c r="E389" s="119"/>
      <c r="F389" s="119"/>
      <c r="G389" s="120"/>
    </row>
    <row r="390" spans="1:7" s="1" customFormat="1" ht="23.25" customHeight="1">
      <c r="A390" s="121"/>
      <c r="B390" s="122"/>
      <c r="C390" s="122"/>
      <c r="D390" s="123"/>
      <c r="E390" s="123"/>
      <c r="F390" s="123"/>
      <c r="G390" s="121"/>
    </row>
    <row r="391" spans="1:7" ht="13.5">
      <c r="A391" s="124"/>
      <c r="B391" s="117"/>
      <c r="C391" s="118"/>
      <c r="D391" s="119"/>
      <c r="E391" s="119"/>
      <c r="F391" s="119"/>
      <c r="G391" s="120"/>
    </row>
    <row r="392" spans="1:7" ht="13.5">
      <c r="A392" s="116"/>
      <c r="B392" s="117"/>
      <c r="C392" s="118"/>
      <c r="D392" s="119"/>
      <c r="E392" s="119"/>
      <c r="F392" s="119"/>
      <c r="G392" s="120"/>
    </row>
    <row r="393" spans="1:7" ht="15" customHeight="1">
      <c r="A393" s="706" t="s">
        <v>558</v>
      </c>
      <c r="B393" s="706"/>
      <c r="C393" s="706"/>
      <c r="D393" s="706"/>
      <c r="E393" s="706"/>
      <c r="F393" s="706"/>
      <c r="G393" s="94">
        <f>G372</f>
        <v>404953080.61000001</v>
      </c>
    </row>
    <row r="394" spans="1:7" ht="15" customHeight="1">
      <c r="A394" s="176" t="s">
        <v>316</v>
      </c>
      <c r="B394" s="177"/>
      <c r="C394" s="178" t="s">
        <v>423</v>
      </c>
      <c r="D394" s="177"/>
      <c r="E394" s="9"/>
      <c r="F394" s="127"/>
      <c r="G394" s="127"/>
    </row>
    <row r="395" spans="1:7" ht="21.75">
      <c r="A395" s="10">
        <v>13</v>
      </c>
      <c r="B395" s="98" t="s">
        <v>424</v>
      </c>
      <c r="C395" s="191" t="s">
        <v>425</v>
      </c>
      <c r="D395" s="98" t="s">
        <v>351</v>
      </c>
      <c r="E395" s="13">
        <v>20</v>
      </c>
      <c r="F395" s="130">
        <v>3542.41</v>
      </c>
      <c r="G395" s="130">
        <f>E395*F395</f>
        <v>70848.2</v>
      </c>
    </row>
    <row r="396" spans="1:7" s="181" customFormat="1" ht="15" customHeight="1">
      <c r="A396" s="177" t="s">
        <v>316</v>
      </c>
      <c r="B396" s="177"/>
      <c r="C396" s="178" t="s">
        <v>380</v>
      </c>
      <c r="D396" s="177"/>
      <c r="E396" s="179"/>
      <c r="F396" s="180"/>
      <c r="G396" s="180"/>
    </row>
    <row r="397" spans="1:7" ht="32.25">
      <c r="A397" s="10">
        <v>14</v>
      </c>
      <c r="B397" s="98" t="s">
        <v>381</v>
      </c>
      <c r="C397" s="191" t="s">
        <v>426</v>
      </c>
      <c r="D397" s="98" t="s">
        <v>351</v>
      </c>
      <c r="E397" s="101">
        <v>36</v>
      </c>
      <c r="F397" s="130">
        <v>3542.41</v>
      </c>
      <c r="G397" s="130">
        <f>E397*F397</f>
        <v>127526.76</v>
      </c>
    </row>
    <row r="398" spans="1:7" s="181" customFormat="1" ht="15" customHeight="1">
      <c r="A398" s="176" t="s">
        <v>316</v>
      </c>
      <c r="B398" s="177"/>
      <c r="C398" s="178" t="s">
        <v>383</v>
      </c>
      <c r="D398" s="177"/>
      <c r="E398" s="179"/>
      <c r="F398" s="180"/>
      <c r="G398" s="180"/>
    </row>
    <row r="399" spans="1:7" ht="21.75">
      <c r="A399" s="10">
        <v>15</v>
      </c>
      <c r="B399" s="98" t="s">
        <v>384</v>
      </c>
      <c r="C399" s="191" t="s">
        <v>427</v>
      </c>
      <c r="D399" s="98" t="s">
        <v>370</v>
      </c>
      <c r="E399" s="101">
        <v>22</v>
      </c>
      <c r="F399" s="130">
        <v>6642.01</v>
      </c>
      <c r="G399" s="130">
        <f t="shared" ref="G399:G408" si="8">E399*F399</f>
        <v>146124.22</v>
      </c>
    </row>
    <row r="400" spans="1:7" ht="32.25">
      <c r="A400" s="10">
        <v>16</v>
      </c>
      <c r="B400" s="98" t="s">
        <v>386</v>
      </c>
      <c r="C400" s="191" t="s">
        <v>428</v>
      </c>
      <c r="D400" s="98" t="s">
        <v>370</v>
      </c>
      <c r="E400" s="101">
        <v>20</v>
      </c>
      <c r="F400" s="130">
        <v>4428.01</v>
      </c>
      <c r="G400" s="130">
        <f t="shared" si="8"/>
        <v>88560.2</v>
      </c>
    </row>
    <row r="401" spans="1:7" ht="33.75" customHeight="1">
      <c r="A401" s="10">
        <v>17</v>
      </c>
      <c r="B401" s="98" t="s">
        <v>429</v>
      </c>
      <c r="C401" s="191" t="s">
        <v>436</v>
      </c>
      <c r="D401" s="98" t="s">
        <v>370</v>
      </c>
      <c r="E401" s="101">
        <v>42</v>
      </c>
      <c r="F401" s="130">
        <v>7084.81</v>
      </c>
      <c r="G401" s="130">
        <f t="shared" si="8"/>
        <v>297562.02</v>
      </c>
    </row>
    <row r="402" spans="1:7" ht="39" customHeight="1">
      <c r="A402" s="10">
        <v>18</v>
      </c>
      <c r="B402" s="98" t="s">
        <v>388</v>
      </c>
      <c r="C402" s="191" t="s">
        <v>389</v>
      </c>
      <c r="D402" s="98" t="s">
        <v>351</v>
      </c>
      <c r="E402" s="101">
        <v>22</v>
      </c>
      <c r="F402" s="130">
        <v>2656.8</v>
      </c>
      <c r="G402" s="130">
        <f t="shared" si="8"/>
        <v>58449.599999999999</v>
      </c>
    </row>
    <row r="403" spans="1:7" ht="21.75">
      <c r="A403" s="10">
        <v>19</v>
      </c>
      <c r="B403" s="98" t="s">
        <v>390</v>
      </c>
      <c r="C403" s="191" t="s">
        <v>430</v>
      </c>
      <c r="D403" s="98" t="s">
        <v>351</v>
      </c>
      <c r="E403" s="101">
        <v>70</v>
      </c>
      <c r="F403" s="130">
        <v>4428.01</v>
      </c>
      <c r="G403" s="130">
        <f t="shared" si="8"/>
        <v>309960.7</v>
      </c>
    </row>
    <row r="404" spans="1:7" ht="39" customHeight="1">
      <c r="A404" s="10">
        <v>20</v>
      </c>
      <c r="B404" s="98" t="s">
        <v>431</v>
      </c>
      <c r="C404" s="191" t="s">
        <v>393</v>
      </c>
      <c r="D404" s="98" t="s">
        <v>370</v>
      </c>
      <c r="E404" s="101">
        <v>35</v>
      </c>
      <c r="F404" s="130">
        <v>3099.61</v>
      </c>
      <c r="G404" s="130">
        <f t="shared" si="8"/>
        <v>108486.35</v>
      </c>
    </row>
    <row r="405" spans="1:7" ht="39" customHeight="1">
      <c r="A405" s="10">
        <v>21</v>
      </c>
      <c r="B405" s="98" t="s">
        <v>432</v>
      </c>
      <c r="C405" s="191" t="s">
        <v>433</v>
      </c>
      <c r="D405" s="98" t="s">
        <v>370</v>
      </c>
      <c r="E405" s="101">
        <v>35</v>
      </c>
      <c r="F405" s="130">
        <v>3542.41</v>
      </c>
      <c r="G405" s="130">
        <f t="shared" si="8"/>
        <v>123984.35</v>
      </c>
    </row>
    <row r="406" spans="1:7" ht="52.5" customHeight="1">
      <c r="A406" s="10">
        <v>22</v>
      </c>
      <c r="B406" s="98" t="s">
        <v>434</v>
      </c>
      <c r="C406" s="191" t="s">
        <v>435</v>
      </c>
      <c r="D406" s="98" t="s">
        <v>311</v>
      </c>
      <c r="E406" s="101">
        <v>20</v>
      </c>
      <c r="F406" s="130">
        <v>6642.01</v>
      </c>
      <c r="G406" s="130">
        <f t="shared" si="8"/>
        <v>132840.20000000001</v>
      </c>
    </row>
    <row r="407" spans="1:7" ht="21.75">
      <c r="A407" s="10">
        <v>23</v>
      </c>
      <c r="B407" s="98" t="s">
        <v>396</v>
      </c>
      <c r="C407" s="191" t="s">
        <v>397</v>
      </c>
      <c r="D407" s="98" t="s">
        <v>370</v>
      </c>
      <c r="E407" s="101">
        <v>12</v>
      </c>
      <c r="F407" s="130">
        <v>4428.01</v>
      </c>
      <c r="G407" s="130">
        <f t="shared" si="8"/>
        <v>53136.12</v>
      </c>
    </row>
    <row r="408" spans="1:7" ht="21.75">
      <c r="A408" s="10">
        <v>24</v>
      </c>
      <c r="B408" s="98" t="s">
        <v>398</v>
      </c>
      <c r="C408" s="191" t="s">
        <v>399</v>
      </c>
      <c r="D408" s="98" t="s">
        <v>370</v>
      </c>
      <c r="E408" s="101">
        <v>6</v>
      </c>
      <c r="F408" s="130">
        <v>3985.21</v>
      </c>
      <c r="G408" s="130">
        <f t="shared" si="8"/>
        <v>23911.26</v>
      </c>
    </row>
    <row r="409" spans="1:7" ht="15" customHeight="1">
      <c r="A409" s="708" t="s">
        <v>556</v>
      </c>
      <c r="B409" s="709"/>
      <c r="C409" s="709"/>
      <c r="D409" s="709"/>
      <c r="E409" s="709"/>
      <c r="F409" s="710"/>
      <c r="G409" s="166">
        <f>SUM(G393:G408)</f>
        <v>406494470.58999997</v>
      </c>
    </row>
    <row r="410" spans="1:7" ht="13.5">
      <c r="A410" s="116"/>
      <c r="B410" s="117"/>
      <c r="C410" s="118"/>
      <c r="D410" s="119"/>
      <c r="E410" s="119"/>
      <c r="F410" s="119"/>
      <c r="G410" s="120"/>
    </row>
    <row r="411" spans="1:7" s="1" customFormat="1" ht="23.25" customHeight="1">
      <c r="A411" s="121"/>
      <c r="B411" s="122"/>
      <c r="C411" s="122"/>
      <c r="D411" s="123"/>
      <c r="E411" s="123"/>
      <c r="F411" s="123"/>
      <c r="G411" s="121"/>
    </row>
    <row r="412" spans="1:7" ht="13.5">
      <c r="A412" s="124"/>
      <c r="B412" s="117"/>
      <c r="C412" s="118"/>
      <c r="D412" s="119"/>
      <c r="E412" s="119"/>
      <c r="F412" s="119"/>
      <c r="G412" s="120"/>
    </row>
    <row r="413" spans="1:7" ht="13.5">
      <c r="A413" s="116"/>
      <c r="B413" s="117"/>
      <c r="C413" s="118"/>
      <c r="D413" s="119"/>
      <c r="E413" s="119"/>
      <c r="F413" s="119"/>
      <c r="G413" s="120"/>
    </row>
  </sheetData>
  <mergeCells count="27">
    <mergeCell ref="A353:F353"/>
    <mergeCell ref="A372:F372"/>
    <mergeCell ref="A393:F393"/>
    <mergeCell ref="A409:F409"/>
    <mergeCell ref="A235:F235"/>
    <mergeCell ref="A256:F256"/>
    <mergeCell ref="A273:F273"/>
    <mergeCell ref="A294:F294"/>
    <mergeCell ref="A315:F315"/>
    <mergeCell ref="A332:F332"/>
    <mergeCell ref="A214:F214"/>
    <mergeCell ref="A48:F48"/>
    <mergeCell ref="A99:F99"/>
    <mergeCell ref="A64:F64"/>
    <mergeCell ref="A114:F114"/>
    <mergeCell ref="A134:F134"/>
    <mergeCell ref="A155:F155"/>
    <mergeCell ref="A173:F173"/>
    <mergeCell ref="A195:F195"/>
    <mergeCell ref="A10:C10"/>
    <mergeCell ref="D10:G10"/>
    <mergeCell ref="A11:B11"/>
    <mergeCell ref="C11:C12"/>
    <mergeCell ref="D11:D12"/>
    <mergeCell ref="E11:E12"/>
    <mergeCell ref="F11:F12"/>
    <mergeCell ref="G11:G12"/>
  </mergeCells>
  <pageMargins left="0.76" right="0.49" top="0.75" bottom="0.75" header="0.3" footer="0.3"/>
  <pageSetup paperSize="9" scale="8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45"/>
  <sheetViews>
    <sheetView view="pageBreakPreview" zoomScale="80" zoomScaleSheetLayoutView="80" workbookViewId="0">
      <selection activeCell="E124" sqref="E124"/>
    </sheetView>
  </sheetViews>
  <sheetFormatPr defaultRowHeight="12.75"/>
  <cols>
    <col min="1" max="1" width="5.66015625" style="82" customWidth="1"/>
    <col min="2" max="2" width="9.84375" style="83" customWidth="1"/>
    <col min="3" max="3" width="46.1171875" style="83" customWidth="1"/>
    <col min="4" max="4" width="6.7421875" style="82" customWidth="1"/>
    <col min="5" max="5" width="10.24609375" style="84" bestFit="1" customWidth="1"/>
    <col min="6" max="6" width="12.67578125" style="85" customWidth="1"/>
    <col min="7" max="7" width="22.11328125" style="85" customWidth="1"/>
  </cols>
  <sheetData>
    <row r="1" spans="1:7" s="29" customFormat="1" ht="16.899999999999999" customHeight="1">
      <c r="A1" s="47" t="s">
        <v>51</v>
      </c>
      <c r="B1" s="47"/>
      <c r="C1" s="48" t="str">
        <f>'Bill 1'!C1</f>
        <v>:MISCELLANEOUS FOREIGN AIDED PROJECT</v>
      </c>
      <c r="D1" s="47"/>
      <c r="E1" s="47"/>
      <c r="F1" s="47"/>
      <c r="G1" s="47"/>
    </row>
    <row r="2" spans="1:7" s="29" customFormat="1" ht="16.899999999999999" customHeight="1">
      <c r="A2" s="47" t="s">
        <v>52</v>
      </c>
      <c r="B2" s="47"/>
      <c r="C2" s="48" t="str">
        <f>'Bill 1'!C2</f>
        <v>REHABILITATION OF THE A-017 ROAD CORRIDOR PROJECT (SURIYAKANDA - RAKWANA)</v>
      </c>
      <c r="D2" s="47"/>
      <c r="E2" s="47"/>
      <c r="F2" s="47"/>
      <c r="G2" s="47"/>
    </row>
    <row r="3" spans="1:7" s="29" customFormat="1" ht="16.899999999999999" customHeight="1">
      <c r="A3" s="47" t="s">
        <v>52</v>
      </c>
      <c r="B3" s="47"/>
      <c r="C3" s="48" t="str">
        <f>'Bill 1'!C3</f>
        <v>FUNDED BY OPEC FUND FOR INTERNATIONAL DEVELOPMENT (OFID)</v>
      </c>
      <c r="D3" s="47"/>
      <c r="E3" s="47"/>
      <c r="F3" s="47"/>
      <c r="G3" s="47"/>
    </row>
    <row r="4" spans="1:7" s="29" customFormat="1" ht="16.899999999999999" customHeight="1">
      <c r="A4" s="47"/>
      <c r="B4" s="47"/>
      <c r="C4" s="48" t="str">
        <f>'Bill 1'!C4</f>
        <v>SECTION FROM CH. 112+600 KM TO CH. 118+600 KM</v>
      </c>
      <c r="D4" s="47"/>
      <c r="E4" s="47"/>
      <c r="F4" s="47"/>
      <c r="G4" s="47"/>
    </row>
    <row r="5" spans="1:7" s="29" customFormat="1" ht="5.25" customHeight="1">
      <c r="A5" s="47"/>
      <c r="B5" s="47"/>
      <c r="C5" s="48"/>
      <c r="D5" s="47"/>
      <c r="E5" s="47"/>
      <c r="F5" s="47"/>
      <c r="G5" s="47"/>
    </row>
    <row r="6" spans="1:7" s="29" customFormat="1" ht="16.899999999999999" customHeight="1">
      <c r="A6" s="47" t="s">
        <v>53</v>
      </c>
      <c r="B6" s="47"/>
      <c r="C6" s="48" t="str">
        <f>'Bill 1'!C6</f>
        <v>:RDA/MFAP/ICB/OFID-04(A)</v>
      </c>
      <c r="D6" s="47"/>
      <c r="E6" s="47"/>
      <c r="F6" s="47"/>
      <c r="G6" s="47"/>
    </row>
    <row r="7" spans="1:7" s="29" customFormat="1" ht="15.95" customHeight="1">
      <c r="A7" s="48"/>
      <c r="B7" s="47"/>
      <c r="C7" s="47"/>
      <c r="D7" s="51"/>
      <c r="E7" s="51"/>
      <c r="F7" s="51"/>
      <c r="G7" s="51"/>
    </row>
    <row r="8" spans="1:7" s="29" customFormat="1" ht="8.25" customHeight="1">
      <c r="A8" s="2"/>
      <c r="B8" s="3"/>
      <c r="C8" s="3"/>
      <c r="D8" s="4"/>
      <c r="E8" s="4"/>
      <c r="F8" s="4"/>
      <c r="G8" s="4"/>
    </row>
    <row r="9" spans="1:7" s="29" customFormat="1" ht="21" customHeight="1">
      <c r="A9" s="125" t="s">
        <v>440</v>
      </c>
      <c r="B9" s="88"/>
      <c r="C9" s="88"/>
      <c r="D9" s="35"/>
      <c r="E9" s="35"/>
      <c r="F9" s="35"/>
      <c r="G9" s="35"/>
    </row>
    <row r="10" spans="1:7" s="29" customFormat="1" ht="16.5" customHeight="1">
      <c r="A10" s="695"/>
      <c r="B10" s="695"/>
      <c r="C10" s="695"/>
      <c r="D10" s="696" t="s">
        <v>56</v>
      </c>
      <c r="E10" s="697"/>
      <c r="F10" s="697"/>
      <c r="G10" s="698"/>
    </row>
    <row r="11" spans="1:7" s="29" customFormat="1" ht="16.5" customHeight="1">
      <c r="A11" s="699" t="s">
        <v>138</v>
      </c>
      <c r="B11" s="699"/>
      <c r="C11" s="699" t="s">
        <v>74</v>
      </c>
      <c r="D11" s="699" t="s">
        <v>139</v>
      </c>
      <c r="E11" s="699" t="s">
        <v>140</v>
      </c>
      <c r="F11" s="699" t="s">
        <v>141</v>
      </c>
      <c r="G11" s="699" t="s">
        <v>57</v>
      </c>
    </row>
    <row r="12" spans="1:7" s="29" customFormat="1" ht="16.5" customHeight="1">
      <c r="A12" s="87" t="s">
        <v>0</v>
      </c>
      <c r="B12" s="87" t="s">
        <v>1</v>
      </c>
      <c r="C12" s="699"/>
      <c r="D12" s="699"/>
      <c r="E12" s="699"/>
      <c r="F12" s="699"/>
      <c r="G12" s="699"/>
    </row>
    <row r="13" spans="1:7" ht="13.5">
      <c r="A13" s="89">
        <v>7.1</v>
      </c>
      <c r="B13" s="91"/>
      <c r="C13" s="89" t="s">
        <v>441</v>
      </c>
      <c r="D13" s="90"/>
      <c r="E13" s="90"/>
      <c r="F13" s="91"/>
      <c r="G13" s="94"/>
    </row>
    <row r="14" spans="1:7" ht="36">
      <c r="A14" s="6">
        <v>1</v>
      </c>
      <c r="B14" s="6" t="s">
        <v>442</v>
      </c>
      <c r="C14" s="153" t="s">
        <v>443</v>
      </c>
      <c r="D14" s="6" t="s">
        <v>109</v>
      </c>
      <c r="E14" s="9">
        <v>900</v>
      </c>
      <c r="F14" s="127">
        <v>3542.41</v>
      </c>
      <c r="G14" s="127">
        <f>E14*F14</f>
        <v>3188169</v>
      </c>
    </row>
    <row r="15" spans="1:7" ht="15" customHeight="1">
      <c r="A15" s="10">
        <v>2</v>
      </c>
      <c r="B15" s="10" t="s">
        <v>444</v>
      </c>
      <c r="C15" s="21" t="s">
        <v>445</v>
      </c>
      <c r="D15" s="10" t="s">
        <v>271</v>
      </c>
      <c r="E15" s="13">
        <v>540</v>
      </c>
      <c r="F15" s="130">
        <v>2036.88</v>
      </c>
      <c r="G15" s="130">
        <f>E15*F15</f>
        <v>1099915.2</v>
      </c>
    </row>
    <row r="16" spans="1:7" ht="15" customHeight="1">
      <c r="A16" s="98">
        <v>3</v>
      </c>
      <c r="B16" s="98" t="s">
        <v>446</v>
      </c>
      <c r="C16" s="21" t="s">
        <v>447</v>
      </c>
      <c r="D16" s="98" t="s">
        <v>271</v>
      </c>
      <c r="E16" s="101">
        <v>50</v>
      </c>
      <c r="F16" s="130">
        <v>2036.88</v>
      </c>
      <c r="G16" s="130">
        <f t="shared" ref="G16:G36" si="0">E16*F16</f>
        <v>101844</v>
      </c>
    </row>
    <row r="17" spans="1:7" ht="15" customHeight="1">
      <c r="A17" s="10">
        <v>4</v>
      </c>
      <c r="B17" s="98" t="s">
        <v>448</v>
      </c>
      <c r="C17" s="21" t="s">
        <v>449</v>
      </c>
      <c r="D17" s="98" t="s">
        <v>271</v>
      </c>
      <c r="E17" s="101">
        <v>50</v>
      </c>
      <c r="F17" s="130">
        <v>2036.88</v>
      </c>
      <c r="G17" s="130">
        <f t="shared" si="0"/>
        <v>101844</v>
      </c>
    </row>
    <row r="18" spans="1:7" ht="15" customHeight="1">
      <c r="A18" s="176">
        <v>7.2</v>
      </c>
      <c r="B18" s="177"/>
      <c r="C18" s="178" t="s">
        <v>450</v>
      </c>
      <c r="D18" s="98"/>
      <c r="E18" s="101"/>
      <c r="F18" s="130"/>
      <c r="G18" s="130"/>
    </row>
    <row r="19" spans="1:7" ht="15" customHeight="1">
      <c r="A19" s="10">
        <v>1</v>
      </c>
      <c r="B19" s="98" t="s">
        <v>372</v>
      </c>
      <c r="C19" s="21" t="s">
        <v>451</v>
      </c>
      <c r="D19" s="98" t="s">
        <v>452</v>
      </c>
      <c r="E19" s="101">
        <v>150</v>
      </c>
      <c r="F19" s="130">
        <v>6199.21</v>
      </c>
      <c r="G19" s="130">
        <f t="shared" si="0"/>
        <v>929881.5</v>
      </c>
    </row>
    <row r="20" spans="1:7" ht="15" customHeight="1">
      <c r="A20" s="10">
        <v>2</v>
      </c>
      <c r="B20" s="98" t="s">
        <v>453</v>
      </c>
      <c r="C20" s="21" t="s">
        <v>454</v>
      </c>
      <c r="D20" s="98" t="s">
        <v>271</v>
      </c>
      <c r="E20" s="101">
        <v>150</v>
      </c>
      <c r="F20" s="130">
        <v>23911.24</v>
      </c>
      <c r="G20" s="130">
        <f t="shared" si="0"/>
        <v>3586686</v>
      </c>
    </row>
    <row r="21" spans="1:7" ht="24">
      <c r="A21" s="10">
        <v>3</v>
      </c>
      <c r="B21" s="98" t="s">
        <v>455</v>
      </c>
      <c r="C21" s="21" t="s">
        <v>456</v>
      </c>
      <c r="D21" s="98" t="s">
        <v>457</v>
      </c>
      <c r="E21" s="101">
        <v>15</v>
      </c>
      <c r="F21" s="130">
        <v>19483.240000000002</v>
      </c>
      <c r="G21" s="130">
        <f t="shared" si="0"/>
        <v>292248.59999999998</v>
      </c>
    </row>
    <row r="22" spans="1:7" ht="24">
      <c r="A22" s="10">
        <v>4</v>
      </c>
      <c r="B22" s="98" t="s">
        <v>458</v>
      </c>
      <c r="C22" s="21" t="s">
        <v>459</v>
      </c>
      <c r="D22" s="98" t="s">
        <v>457</v>
      </c>
      <c r="E22" s="101">
        <v>15</v>
      </c>
      <c r="F22" s="130">
        <v>19483.240000000002</v>
      </c>
      <c r="G22" s="130">
        <f t="shared" si="0"/>
        <v>292248.59999999998</v>
      </c>
    </row>
    <row r="23" spans="1:7" s="181" customFormat="1" ht="15" customHeight="1">
      <c r="A23" s="176">
        <v>7.3</v>
      </c>
      <c r="B23" s="177"/>
      <c r="C23" s="178" t="s">
        <v>460</v>
      </c>
      <c r="D23" s="177"/>
      <c r="E23" s="179"/>
      <c r="F23" s="180"/>
      <c r="G23" s="180"/>
    </row>
    <row r="24" spans="1:7" ht="15" customHeight="1">
      <c r="A24" s="10">
        <v>1</v>
      </c>
      <c r="B24" s="98" t="s">
        <v>461</v>
      </c>
      <c r="C24" s="21" t="s">
        <v>462</v>
      </c>
      <c r="D24" s="98" t="s">
        <v>109</v>
      </c>
      <c r="E24" s="101">
        <v>252</v>
      </c>
      <c r="F24" s="130">
        <v>2656.8</v>
      </c>
      <c r="G24" s="130">
        <f t="shared" si="0"/>
        <v>669513.6</v>
      </c>
    </row>
    <row r="25" spans="1:7" ht="15" customHeight="1">
      <c r="A25" s="10">
        <v>2</v>
      </c>
      <c r="B25" s="98" t="s">
        <v>463</v>
      </c>
      <c r="C25" s="21" t="s">
        <v>464</v>
      </c>
      <c r="D25" s="98" t="s">
        <v>109</v>
      </c>
      <c r="E25" s="101">
        <v>378</v>
      </c>
      <c r="F25" s="130">
        <v>2656.8</v>
      </c>
      <c r="G25" s="130">
        <f t="shared" si="0"/>
        <v>1004270.4</v>
      </c>
    </row>
    <row r="26" spans="1:7" ht="15" customHeight="1">
      <c r="A26" s="10">
        <v>3</v>
      </c>
      <c r="B26" s="98" t="s">
        <v>465</v>
      </c>
      <c r="C26" s="21" t="s">
        <v>466</v>
      </c>
      <c r="D26" s="98" t="s">
        <v>109</v>
      </c>
      <c r="E26" s="101">
        <v>1260</v>
      </c>
      <c r="F26" s="130">
        <v>2656.8</v>
      </c>
      <c r="G26" s="130">
        <f t="shared" si="0"/>
        <v>3347568</v>
      </c>
    </row>
    <row r="27" spans="1:7" ht="15" customHeight="1">
      <c r="A27" s="10">
        <v>4</v>
      </c>
      <c r="B27" s="98" t="s">
        <v>467</v>
      </c>
      <c r="C27" s="21" t="s">
        <v>468</v>
      </c>
      <c r="D27" s="98" t="s">
        <v>109</v>
      </c>
      <c r="E27" s="101">
        <v>150</v>
      </c>
      <c r="F27" s="130">
        <v>2833.93</v>
      </c>
      <c r="G27" s="130">
        <f t="shared" si="0"/>
        <v>425089.5</v>
      </c>
    </row>
    <row r="28" spans="1:7" ht="15" customHeight="1">
      <c r="A28" s="10">
        <v>5</v>
      </c>
      <c r="B28" s="98" t="s">
        <v>469</v>
      </c>
      <c r="C28" s="21" t="s">
        <v>470</v>
      </c>
      <c r="D28" s="98" t="s">
        <v>17</v>
      </c>
      <c r="E28" s="101">
        <v>126</v>
      </c>
      <c r="F28" s="130">
        <v>2656.8</v>
      </c>
      <c r="G28" s="130">
        <f t="shared" si="0"/>
        <v>334756.8</v>
      </c>
    </row>
    <row r="29" spans="1:7" s="181" customFormat="1" ht="13.5">
      <c r="A29" s="176">
        <v>7.4</v>
      </c>
      <c r="B29" s="177"/>
      <c r="C29" s="178" t="s">
        <v>471</v>
      </c>
      <c r="D29" s="177"/>
      <c r="E29" s="179"/>
      <c r="F29" s="180"/>
      <c r="G29" s="180"/>
    </row>
    <row r="30" spans="1:7" ht="15" customHeight="1">
      <c r="A30" s="10">
        <v>1</v>
      </c>
      <c r="B30" s="98" t="s">
        <v>472</v>
      </c>
      <c r="C30" s="21" t="s">
        <v>485</v>
      </c>
      <c r="D30" s="98" t="s">
        <v>17</v>
      </c>
      <c r="E30" s="101">
        <v>60</v>
      </c>
      <c r="F30" s="130">
        <v>17712.03</v>
      </c>
      <c r="G30" s="130">
        <f t="shared" si="0"/>
        <v>1062721.8</v>
      </c>
    </row>
    <row r="31" spans="1:7" ht="15" customHeight="1">
      <c r="A31" s="10">
        <v>2</v>
      </c>
      <c r="B31" s="98" t="s">
        <v>473</v>
      </c>
      <c r="C31" s="21" t="s">
        <v>486</v>
      </c>
      <c r="D31" s="98" t="s">
        <v>17</v>
      </c>
      <c r="E31" s="101">
        <v>3</v>
      </c>
      <c r="F31" s="130">
        <v>221400.41</v>
      </c>
      <c r="G31" s="130">
        <f t="shared" si="0"/>
        <v>664201.23</v>
      </c>
    </row>
    <row r="32" spans="1:7" ht="13.5">
      <c r="A32" s="10">
        <v>3</v>
      </c>
      <c r="B32" s="98" t="s">
        <v>474</v>
      </c>
      <c r="C32" s="21" t="s">
        <v>487</v>
      </c>
      <c r="D32" s="98" t="s">
        <v>17</v>
      </c>
      <c r="E32" s="101">
        <v>2</v>
      </c>
      <c r="F32" s="130">
        <v>265680.49</v>
      </c>
      <c r="G32" s="130">
        <f t="shared" si="0"/>
        <v>531360.98</v>
      </c>
    </row>
    <row r="33" spans="1:7" ht="15" customHeight="1">
      <c r="A33" s="10">
        <v>4</v>
      </c>
      <c r="B33" s="98" t="s">
        <v>475</v>
      </c>
      <c r="C33" s="21" t="s">
        <v>476</v>
      </c>
      <c r="D33" s="98" t="s">
        <v>17</v>
      </c>
      <c r="E33" s="101">
        <v>120</v>
      </c>
      <c r="F33" s="130">
        <v>17712.03</v>
      </c>
      <c r="G33" s="130">
        <f t="shared" si="0"/>
        <v>2125443.6</v>
      </c>
    </row>
    <row r="34" spans="1:7" ht="15" customHeight="1">
      <c r="A34" s="10">
        <v>5</v>
      </c>
      <c r="B34" s="98" t="s">
        <v>477</v>
      </c>
      <c r="C34" s="21" t="s">
        <v>488</v>
      </c>
      <c r="D34" s="98" t="s">
        <v>17</v>
      </c>
      <c r="E34" s="101">
        <v>3</v>
      </c>
      <c r="F34" s="130">
        <v>154980.29</v>
      </c>
      <c r="G34" s="130">
        <f t="shared" si="0"/>
        <v>464940.87</v>
      </c>
    </row>
    <row r="35" spans="1:7" s="181" customFormat="1" ht="15" customHeight="1">
      <c r="A35" s="176">
        <v>7.5</v>
      </c>
      <c r="B35" s="177"/>
      <c r="C35" s="178" t="s">
        <v>478</v>
      </c>
      <c r="D35" s="177"/>
      <c r="E35" s="179"/>
      <c r="F35" s="180"/>
      <c r="G35" s="180"/>
    </row>
    <row r="36" spans="1:7" ht="15" customHeight="1">
      <c r="A36" s="10">
        <v>1</v>
      </c>
      <c r="B36" s="98" t="s">
        <v>479</v>
      </c>
      <c r="C36" s="21" t="s">
        <v>480</v>
      </c>
      <c r="D36" s="98" t="s">
        <v>17</v>
      </c>
      <c r="E36" s="101">
        <v>30</v>
      </c>
      <c r="F36" s="130">
        <v>3099.61</v>
      </c>
      <c r="G36" s="130">
        <f t="shared" si="0"/>
        <v>92988.3</v>
      </c>
    </row>
    <row r="37" spans="1:7" ht="15" customHeight="1">
      <c r="A37" s="506"/>
      <c r="B37" s="507"/>
      <c r="C37" s="508"/>
      <c r="D37" s="507"/>
      <c r="E37" s="509"/>
      <c r="F37" s="510"/>
      <c r="G37" s="510"/>
    </row>
    <row r="38" spans="1:7" ht="15" customHeight="1">
      <c r="A38" s="506"/>
      <c r="B38" s="507"/>
      <c r="C38" s="508"/>
      <c r="D38" s="507"/>
      <c r="E38" s="509"/>
      <c r="F38" s="510"/>
      <c r="G38" s="510"/>
    </row>
    <row r="39" spans="1:7" ht="15" customHeight="1">
      <c r="A39" s="506"/>
      <c r="B39" s="507"/>
      <c r="C39" s="508"/>
      <c r="D39" s="507"/>
      <c r="E39" s="509"/>
      <c r="F39" s="510"/>
      <c r="G39" s="510"/>
    </row>
    <row r="40" spans="1:7" ht="15" customHeight="1">
      <c r="A40" s="506"/>
      <c r="B40" s="507"/>
      <c r="C40" s="508"/>
      <c r="D40" s="507"/>
      <c r="E40" s="509"/>
      <c r="F40" s="510"/>
      <c r="G40" s="510"/>
    </row>
    <row r="41" spans="1:7" ht="15" customHeight="1">
      <c r="A41" s="506"/>
      <c r="B41" s="507"/>
      <c r="C41" s="508"/>
      <c r="D41" s="507"/>
      <c r="E41" s="509"/>
      <c r="F41" s="510"/>
      <c r="G41" s="510"/>
    </row>
    <row r="42" spans="1:7" ht="15" customHeight="1">
      <c r="A42" s="506"/>
      <c r="B42" s="507"/>
      <c r="C42" s="508"/>
      <c r="D42" s="507"/>
      <c r="E42" s="509"/>
      <c r="F42" s="510"/>
      <c r="G42" s="510"/>
    </row>
    <row r="43" spans="1:7" ht="15" customHeight="1">
      <c r="A43" s="506"/>
      <c r="B43" s="507"/>
      <c r="C43" s="508"/>
      <c r="D43" s="507"/>
      <c r="E43" s="509"/>
      <c r="F43" s="510"/>
      <c r="G43" s="510"/>
    </row>
    <row r="44" spans="1:7" ht="15" customHeight="1">
      <c r="A44" s="506"/>
      <c r="B44" s="507"/>
      <c r="C44" s="508"/>
      <c r="D44" s="507"/>
      <c r="E44" s="509"/>
      <c r="F44" s="510"/>
      <c r="G44" s="510"/>
    </row>
    <row r="45" spans="1:7" ht="15" customHeight="1">
      <c r="A45" s="506"/>
      <c r="B45" s="507"/>
      <c r="C45" s="508"/>
      <c r="D45" s="507"/>
      <c r="E45" s="509"/>
      <c r="F45" s="510"/>
      <c r="G45" s="510"/>
    </row>
    <row r="46" spans="1:7" ht="15" customHeight="1">
      <c r="A46" s="193"/>
      <c r="B46" s="194"/>
      <c r="C46" s="195"/>
      <c r="D46" s="194"/>
      <c r="E46" s="196"/>
      <c r="F46" s="149"/>
      <c r="G46" s="149"/>
    </row>
    <row r="47" spans="1:7" ht="13.5">
      <c r="A47" s="706" t="s">
        <v>557</v>
      </c>
      <c r="B47" s="706"/>
      <c r="C47" s="706"/>
      <c r="D47" s="706"/>
      <c r="E47" s="706"/>
      <c r="F47" s="706"/>
      <c r="G47" s="166">
        <f>SUM(G14:G36)</f>
        <v>20315691.98</v>
      </c>
    </row>
    <row r="48" spans="1:7" ht="13.5">
      <c r="A48" s="116"/>
      <c r="B48" s="116"/>
      <c r="C48" s="116"/>
      <c r="D48" s="116"/>
      <c r="E48" s="116"/>
      <c r="F48" s="116"/>
      <c r="G48" s="511"/>
    </row>
    <row r="49" spans="1:7" ht="13.5">
      <c r="A49" s="116"/>
      <c r="B49" s="116"/>
      <c r="C49" s="116"/>
      <c r="D49" s="116"/>
      <c r="E49" s="116"/>
      <c r="F49" s="116"/>
      <c r="G49" s="511"/>
    </row>
    <row r="50" spans="1:7" ht="13.5">
      <c r="A50" s="116"/>
      <c r="B50" s="116"/>
      <c r="C50" s="116"/>
      <c r="D50" s="116"/>
      <c r="E50" s="116"/>
      <c r="F50" s="116"/>
      <c r="G50" s="511"/>
    </row>
    <row r="51" spans="1:7" ht="13.5">
      <c r="A51" s="116"/>
      <c r="B51" s="116"/>
      <c r="C51" s="116"/>
      <c r="D51" s="116"/>
      <c r="E51" s="116"/>
      <c r="F51" s="116"/>
      <c r="G51" s="511"/>
    </row>
    <row r="52" spans="1:7" ht="13.5">
      <c r="A52" s="116"/>
      <c r="B52" s="116"/>
      <c r="C52" s="116"/>
      <c r="D52" s="116"/>
      <c r="E52" s="116"/>
      <c r="F52" s="116"/>
      <c r="G52" s="511"/>
    </row>
    <row r="53" spans="1:7" ht="13.5">
      <c r="A53" s="116"/>
      <c r="B53" s="116"/>
      <c r="C53" s="116"/>
      <c r="D53" s="116"/>
      <c r="E53" s="116"/>
      <c r="F53" s="116"/>
      <c r="G53" s="511"/>
    </row>
    <row r="54" spans="1:7" ht="13.5">
      <c r="A54" s="116"/>
      <c r="B54" s="116"/>
      <c r="C54" s="116"/>
      <c r="D54" s="116"/>
      <c r="E54" s="116"/>
      <c r="F54" s="116"/>
      <c r="G54" s="511"/>
    </row>
    <row r="55" spans="1:7" ht="13.5">
      <c r="A55" s="116"/>
      <c r="B55" s="116"/>
      <c r="C55" s="116"/>
      <c r="D55" s="116"/>
      <c r="E55" s="116"/>
      <c r="F55" s="116"/>
      <c r="G55" s="511"/>
    </row>
    <row r="56" spans="1:7" ht="13.5">
      <c r="A56" s="116"/>
      <c r="B56" s="116"/>
      <c r="C56" s="116"/>
      <c r="D56" s="116"/>
      <c r="E56" s="116"/>
      <c r="F56" s="116"/>
      <c r="G56" s="511"/>
    </row>
    <row r="57" spans="1:7" ht="13.5">
      <c r="A57" s="116"/>
      <c r="B57" s="116"/>
      <c r="C57" s="116"/>
      <c r="D57" s="116"/>
      <c r="E57" s="116"/>
      <c r="F57" s="116"/>
      <c r="G57" s="511"/>
    </row>
    <row r="59" spans="1:7" s="1" customFormat="1" ht="13.5">
      <c r="A59" s="116"/>
      <c r="B59" s="117"/>
      <c r="C59" s="118"/>
      <c r="D59" s="119"/>
      <c r="E59" s="119"/>
      <c r="F59" s="119"/>
      <c r="G59" s="120"/>
    </row>
    <row r="60" spans="1:7" s="1" customFormat="1" ht="23.25" customHeight="1">
      <c r="A60" s="121"/>
      <c r="B60" s="122"/>
      <c r="C60" s="122"/>
      <c r="D60" s="123"/>
      <c r="E60" s="123"/>
      <c r="F60" s="123"/>
      <c r="G60" s="121"/>
    </row>
    <row r="61" spans="1:7" s="1" customFormat="1" ht="13.5">
      <c r="A61" s="124"/>
      <c r="B61" s="117"/>
      <c r="C61" s="118"/>
      <c r="D61" s="119"/>
      <c r="E61" s="119"/>
      <c r="F61" s="119"/>
      <c r="G61" s="120"/>
    </row>
    <row r="62" spans="1:7" s="1" customFormat="1" ht="13.5">
      <c r="A62" s="116"/>
      <c r="B62" s="117"/>
      <c r="C62" s="118"/>
      <c r="D62" s="119"/>
      <c r="E62" s="119"/>
      <c r="F62" s="119"/>
      <c r="G62" s="120"/>
    </row>
    <row r="63" spans="1:7" ht="13.5">
      <c r="A63" s="706" t="s">
        <v>558</v>
      </c>
      <c r="B63" s="706"/>
      <c r="C63" s="706"/>
      <c r="D63" s="706"/>
      <c r="E63" s="706"/>
      <c r="F63" s="706"/>
      <c r="G63" s="94">
        <f>G47</f>
        <v>20315691.98</v>
      </c>
    </row>
    <row r="64" spans="1:7" s="181" customFormat="1" ht="15" customHeight="1">
      <c r="A64" s="176">
        <v>7.6</v>
      </c>
      <c r="B64" s="177"/>
      <c r="C64" s="178" t="s">
        <v>481</v>
      </c>
      <c r="D64" s="177"/>
      <c r="E64" s="179"/>
      <c r="F64" s="180"/>
      <c r="G64" s="180"/>
    </row>
    <row r="65" spans="1:7" ht="24" customHeight="1">
      <c r="A65" s="98">
        <v>1</v>
      </c>
      <c r="B65" s="163" t="s">
        <v>482</v>
      </c>
      <c r="C65" s="173" t="s">
        <v>483</v>
      </c>
      <c r="D65" s="163" t="s">
        <v>484</v>
      </c>
      <c r="E65" s="101">
        <v>500</v>
      </c>
      <c r="F65" s="130">
        <v>2656.8</v>
      </c>
      <c r="G65" s="130">
        <f>E65*F65</f>
        <v>1328400</v>
      </c>
    </row>
    <row r="66" spans="1:7" s="181" customFormat="1" ht="15" customHeight="1">
      <c r="A66" s="197">
        <v>7.7</v>
      </c>
      <c r="B66" s="197"/>
      <c r="C66" s="198" t="s">
        <v>489</v>
      </c>
      <c r="D66" s="197"/>
      <c r="E66" s="199"/>
      <c r="F66" s="200"/>
      <c r="G66" s="200">
        <v>0</v>
      </c>
    </row>
    <row r="67" spans="1:7" ht="15" customHeight="1">
      <c r="A67" s="10">
        <v>1</v>
      </c>
      <c r="B67" s="10" t="s">
        <v>490</v>
      </c>
      <c r="C67" s="21" t="s">
        <v>491</v>
      </c>
      <c r="D67" s="10" t="s">
        <v>112</v>
      </c>
      <c r="E67" s="13">
        <v>6</v>
      </c>
      <c r="F67" s="130">
        <v>22140.04</v>
      </c>
      <c r="G67" s="130">
        <f>E67*F67</f>
        <v>132840.24</v>
      </c>
    </row>
    <row r="68" spans="1:7" ht="15" customHeight="1">
      <c r="A68" s="98">
        <v>2</v>
      </c>
      <c r="B68" s="98" t="s">
        <v>492</v>
      </c>
      <c r="C68" s="21" t="s">
        <v>493</v>
      </c>
      <c r="D68" s="98" t="s">
        <v>112</v>
      </c>
      <c r="E68" s="101">
        <v>450</v>
      </c>
      <c r="F68" s="130">
        <v>3321.01</v>
      </c>
      <c r="G68" s="130">
        <f>E68*F68</f>
        <v>1494454.5</v>
      </c>
    </row>
    <row r="69" spans="1:7" s="181" customFormat="1" ht="24">
      <c r="A69" s="176">
        <v>7.8</v>
      </c>
      <c r="B69" s="177"/>
      <c r="C69" s="178" t="s">
        <v>494</v>
      </c>
      <c r="D69" s="177"/>
      <c r="E69" s="179"/>
      <c r="F69" s="180"/>
      <c r="G69" s="180">
        <v>0</v>
      </c>
    </row>
    <row r="70" spans="1:7" ht="36">
      <c r="A70" s="10">
        <v>1</v>
      </c>
      <c r="B70" s="98" t="s">
        <v>495</v>
      </c>
      <c r="C70" s="21" t="s">
        <v>496</v>
      </c>
      <c r="D70" s="98" t="s">
        <v>137</v>
      </c>
      <c r="E70" s="101">
        <v>375</v>
      </c>
      <c r="F70" s="130">
        <v>19926.04</v>
      </c>
      <c r="G70" s="130">
        <f t="shared" ref="G70:G79" si="1">E70*F70</f>
        <v>7472265</v>
      </c>
    </row>
    <row r="71" spans="1:7" ht="36">
      <c r="A71" s="10">
        <v>2</v>
      </c>
      <c r="B71" s="98" t="s">
        <v>497</v>
      </c>
      <c r="C71" s="21" t="s">
        <v>498</v>
      </c>
      <c r="D71" s="98" t="s">
        <v>137</v>
      </c>
      <c r="E71" s="101">
        <v>250</v>
      </c>
      <c r="F71" s="130">
        <v>19926.04</v>
      </c>
      <c r="G71" s="130">
        <f t="shared" si="1"/>
        <v>4981510</v>
      </c>
    </row>
    <row r="72" spans="1:7" ht="36">
      <c r="A72" s="10">
        <v>3</v>
      </c>
      <c r="B72" s="98" t="s">
        <v>499</v>
      </c>
      <c r="C72" s="21" t="s">
        <v>500</v>
      </c>
      <c r="D72" s="98" t="s">
        <v>311</v>
      </c>
      <c r="E72" s="101">
        <v>100</v>
      </c>
      <c r="F72" s="130">
        <v>12796.94</v>
      </c>
      <c r="G72" s="130">
        <f t="shared" si="1"/>
        <v>1279694</v>
      </c>
    </row>
    <row r="73" spans="1:7" ht="13.5">
      <c r="A73" s="10">
        <v>4</v>
      </c>
      <c r="B73" s="98" t="s">
        <v>501</v>
      </c>
      <c r="C73" s="21" t="s">
        <v>502</v>
      </c>
      <c r="D73" s="98" t="s">
        <v>311</v>
      </c>
      <c r="E73" s="101">
        <v>100</v>
      </c>
      <c r="F73" s="130">
        <v>978.59</v>
      </c>
      <c r="G73" s="130">
        <f t="shared" si="1"/>
        <v>97859</v>
      </c>
    </row>
    <row r="74" spans="1:7" ht="36">
      <c r="A74" s="10">
        <v>5</v>
      </c>
      <c r="B74" s="98" t="s">
        <v>503</v>
      </c>
      <c r="C74" s="21" t="s">
        <v>504</v>
      </c>
      <c r="D74" s="98" t="s">
        <v>137</v>
      </c>
      <c r="E74" s="101">
        <v>75</v>
      </c>
      <c r="F74" s="130">
        <v>13284.03</v>
      </c>
      <c r="G74" s="130">
        <f t="shared" si="1"/>
        <v>996302.25</v>
      </c>
    </row>
    <row r="75" spans="1:7" ht="36">
      <c r="A75" s="10">
        <v>6</v>
      </c>
      <c r="B75" s="98" t="s">
        <v>505</v>
      </c>
      <c r="C75" s="21" t="s">
        <v>506</v>
      </c>
      <c r="D75" s="98" t="s">
        <v>137</v>
      </c>
      <c r="E75" s="101">
        <v>150</v>
      </c>
      <c r="F75" s="130">
        <v>13284.02</v>
      </c>
      <c r="G75" s="130">
        <f t="shared" si="1"/>
        <v>1992603</v>
      </c>
    </row>
    <row r="76" spans="1:7" ht="24">
      <c r="A76" s="10">
        <v>7</v>
      </c>
      <c r="B76" s="98" t="s">
        <v>507</v>
      </c>
      <c r="C76" s="21" t="s">
        <v>508</v>
      </c>
      <c r="D76" s="98" t="s">
        <v>311</v>
      </c>
      <c r="E76" s="101">
        <v>100</v>
      </c>
      <c r="F76" s="130">
        <v>35424.07</v>
      </c>
      <c r="G76" s="130">
        <f t="shared" si="1"/>
        <v>3542407</v>
      </c>
    </row>
    <row r="77" spans="1:7" ht="24">
      <c r="A77" s="10">
        <v>8</v>
      </c>
      <c r="B77" s="98" t="s">
        <v>509</v>
      </c>
      <c r="C77" s="21" t="s">
        <v>510</v>
      </c>
      <c r="D77" s="98" t="s">
        <v>137</v>
      </c>
      <c r="E77" s="101">
        <v>100</v>
      </c>
      <c r="F77" s="130">
        <v>677.49</v>
      </c>
      <c r="G77" s="130">
        <f t="shared" si="1"/>
        <v>67749</v>
      </c>
    </row>
    <row r="78" spans="1:7" ht="13.5">
      <c r="A78" s="10">
        <v>9</v>
      </c>
      <c r="B78" s="98" t="s">
        <v>511</v>
      </c>
      <c r="C78" s="21" t="s">
        <v>512</v>
      </c>
      <c r="D78" s="98" t="s">
        <v>374</v>
      </c>
      <c r="E78" s="101">
        <v>4</v>
      </c>
      <c r="F78" s="130">
        <v>210773.19</v>
      </c>
      <c r="G78" s="130">
        <f t="shared" si="1"/>
        <v>843092.76</v>
      </c>
    </row>
    <row r="79" spans="1:7" ht="24">
      <c r="A79" s="10">
        <v>10</v>
      </c>
      <c r="B79" s="98" t="s">
        <v>513</v>
      </c>
      <c r="C79" s="21" t="s">
        <v>514</v>
      </c>
      <c r="D79" s="98" t="s">
        <v>137</v>
      </c>
      <c r="E79" s="101">
        <v>50</v>
      </c>
      <c r="F79" s="130">
        <v>9785.9</v>
      </c>
      <c r="G79" s="130">
        <f t="shared" si="1"/>
        <v>489295</v>
      </c>
    </row>
    <row r="80" spans="1:7" ht="17.25" customHeight="1">
      <c r="A80" s="706" t="s">
        <v>557</v>
      </c>
      <c r="B80" s="706"/>
      <c r="C80" s="706"/>
      <c r="D80" s="706"/>
      <c r="E80" s="706"/>
      <c r="F80" s="706"/>
      <c r="G80" s="166">
        <f>SUM(G63:G79)</f>
        <v>45034163.729999997</v>
      </c>
    </row>
    <row r="81" spans="1:7" ht="17.25" customHeight="1">
      <c r="A81" s="116"/>
      <c r="B81" s="116"/>
      <c r="C81" s="116"/>
      <c r="D81" s="116"/>
      <c r="E81" s="116"/>
      <c r="F81" s="116"/>
      <c r="G81" s="511"/>
    </row>
    <row r="82" spans="1:7" ht="17.25" customHeight="1">
      <c r="A82" s="116"/>
      <c r="B82" s="116"/>
      <c r="C82" s="116"/>
      <c r="D82" s="116"/>
      <c r="E82" s="116"/>
      <c r="F82" s="116"/>
      <c r="G82" s="511"/>
    </row>
    <row r="83" spans="1:7" ht="17.25" customHeight="1">
      <c r="A83" s="116"/>
      <c r="B83" s="116"/>
      <c r="C83" s="116"/>
      <c r="D83" s="116"/>
      <c r="E83" s="116"/>
      <c r="F83" s="116"/>
      <c r="G83" s="511"/>
    </row>
    <row r="84" spans="1:7" ht="17.25" customHeight="1">
      <c r="A84" s="116"/>
      <c r="B84" s="116"/>
      <c r="C84" s="116"/>
      <c r="D84" s="116"/>
      <c r="E84" s="116"/>
      <c r="F84" s="116"/>
      <c r="G84" s="511"/>
    </row>
    <row r="85" spans="1:7" ht="17.25" customHeight="1">
      <c r="A85" s="116"/>
      <c r="B85" s="116"/>
      <c r="C85" s="116"/>
      <c r="D85" s="116"/>
      <c r="E85" s="116"/>
      <c r="F85" s="116"/>
      <c r="G85" s="511"/>
    </row>
    <row r="86" spans="1:7" ht="17.25" customHeight="1">
      <c r="A86" s="116"/>
      <c r="B86" s="116"/>
      <c r="C86" s="116"/>
      <c r="D86" s="116"/>
      <c r="E86" s="116"/>
      <c r="F86" s="116"/>
      <c r="G86" s="511"/>
    </row>
    <row r="87" spans="1:7" ht="17.25" customHeight="1">
      <c r="A87" s="116"/>
      <c r="B87" s="116"/>
      <c r="C87" s="116"/>
      <c r="D87" s="116"/>
      <c r="E87" s="116"/>
      <c r="F87" s="116"/>
      <c r="G87" s="511"/>
    </row>
    <row r="88" spans="1:7" ht="17.25" customHeight="1">
      <c r="A88" s="116"/>
      <c r="B88" s="116"/>
      <c r="C88" s="116"/>
      <c r="D88" s="116"/>
      <c r="E88" s="116"/>
      <c r="F88" s="116"/>
      <c r="G88" s="511"/>
    </row>
    <row r="89" spans="1:7" ht="17.25" customHeight="1">
      <c r="A89" s="116"/>
      <c r="B89" s="116"/>
      <c r="C89" s="116"/>
      <c r="D89" s="116"/>
      <c r="E89" s="116"/>
      <c r="F89" s="116"/>
      <c r="G89" s="511"/>
    </row>
    <row r="90" spans="1:7" ht="17.25" customHeight="1">
      <c r="A90" s="116"/>
      <c r="B90" s="116"/>
      <c r="C90" s="116"/>
      <c r="D90" s="116"/>
      <c r="E90" s="116"/>
      <c r="F90" s="116"/>
      <c r="G90" s="511"/>
    </row>
    <row r="91" spans="1:7" ht="17.25" customHeight="1">
      <c r="A91" s="116"/>
      <c r="B91" s="116"/>
      <c r="C91" s="116"/>
      <c r="D91" s="116"/>
      <c r="E91" s="116"/>
      <c r="F91" s="116"/>
      <c r="G91" s="511"/>
    </row>
    <row r="92" spans="1:7" ht="17.25" customHeight="1">
      <c r="A92" s="116"/>
      <c r="B92" s="116"/>
      <c r="C92" s="116"/>
      <c r="D92" s="116"/>
      <c r="E92" s="116"/>
      <c r="F92" s="116"/>
      <c r="G92" s="511"/>
    </row>
    <row r="93" spans="1:7" ht="17.25" customHeight="1">
      <c r="A93" s="116"/>
      <c r="B93" s="116"/>
      <c r="C93" s="116"/>
      <c r="D93" s="116"/>
      <c r="E93" s="116"/>
      <c r="F93" s="116"/>
      <c r="G93" s="511"/>
    </row>
    <row r="94" spans="1:7" ht="17.25" customHeight="1">
      <c r="A94" s="116"/>
      <c r="B94" s="116"/>
      <c r="C94" s="116"/>
      <c r="D94" s="116"/>
      <c r="E94" s="116"/>
      <c r="F94" s="116"/>
      <c r="G94" s="511"/>
    </row>
    <row r="96" spans="1:7" ht="13.5">
      <c r="A96" s="116"/>
      <c r="B96" s="117"/>
      <c r="C96" s="118"/>
      <c r="D96" s="119"/>
      <c r="E96" s="119"/>
      <c r="F96" s="119"/>
      <c r="G96" s="120"/>
    </row>
    <row r="97" spans="1:7" s="1" customFormat="1" ht="23.25" customHeight="1">
      <c r="A97" s="121"/>
      <c r="B97" s="122"/>
      <c r="C97" s="122"/>
      <c r="D97" s="123"/>
      <c r="E97" s="123"/>
      <c r="F97" s="123"/>
      <c r="G97" s="121"/>
    </row>
    <row r="98" spans="1:7" ht="13.5">
      <c r="A98" s="124"/>
      <c r="B98" s="117"/>
      <c r="C98" s="118"/>
      <c r="D98" s="119"/>
      <c r="E98" s="119"/>
      <c r="F98" s="119"/>
      <c r="G98" s="120"/>
    </row>
    <row r="99" spans="1:7" ht="13.5">
      <c r="A99" s="116"/>
      <c r="B99" s="117"/>
      <c r="C99" s="118"/>
      <c r="D99" s="119"/>
      <c r="E99" s="119"/>
      <c r="F99" s="119"/>
      <c r="G99" s="120"/>
    </row>
    <row r="100" spans="1:7" ht="15" customHeight="1">
      <c r="A100" s="706" t="s">
        <v>558</v>
      </c>
      <c r="B100" s="706"/>
      <c r="C100" s="706"/>
      <c r="D100" s="706"/>
      <c r="E100" s="706"/>
      <c r="F100" s="706"/>
      <c r="G100" s="94">
        <f>G80</f>
        <v>45034163.729999997</v>
      </c>
    </row>
    <row r="101" spans="1:7" s="181" customFormat="1" ht="24">
      <c r="A101" s="10">
        <v>11</v>
      </c>
      <c r="B101" s="98" t="s">
        <v>515</v>
      </c>
      <c r="C101" s="21" t="s">
        <v>516</v>
      </c>
      <c r="D101" s="98" t="s">
        <v>137</v>
      </c>
      <c r="E101" s="101">
        <v>50</v>
      </c>
      <c r="F101" s="130">
        <v>11291.42</v>
      </c>
      <c r="G101" s="130">
        <f>E101*F101</f>
        <v>564571</v>
      </c>
    </row>
    <row r="102" spans="1:7" ht="13.5">
      <c r="A102" s="10">
        <v>12</v>
      </c>
      <c r="B102" s="98" t="s">
        <v>202</v>
      </c>
      <c r="C102" s="21" t="s">
        <v>517</v>
      </c>
      <c r="D102" s="98" t="s">
        <v>311</v>
      </c>
      <c r="E102" s="101">
        <v>100</v>
      </c>
      <c r="F102" s="130">
        <v>4516.57</v>
      </c>
      <c r="G102" s="130">
        <f>E102*F102</f>
        <v>451657</v>
      </c>
    </row>
    <row r="103" spans="1:7" ht="24">
      <c r="A103" s="10">
        <v>13</v>
      </c>
      <c r="B103" s="98" t="s">
        <v>518</v>
      </c>
      <c r="C103" s="21" t="s">
        <v>519</v>
      </c>
      <c r="D103" s="98" t="s">
        <v>374</v>
      </c>
      <c r="E103" s="101">
        <v>200</v>
      </c>
      <c r="F103" s="130">
        <v>13284.06</v>
      </c>
      <c r="G103" s="130">
        <f>E103*F103</f>
        <v>2656812</v>
      </c>
    </row>
    <row r="104" spans="1:7" ht="15" customHeight="1">
      <c r="A104" s="10">
        <v>14</v>
      </c>
      <c r="B104" s="98" t="s">
        <v>520</v>
      </c>
      <c r="C104" s="21" t="s">
        <v>521</v>
      </c>
      <c r="D104" s="98" t="s">
        <v>137</v>
      </c>
      <c r="E104" s="101">
        <v>18</v>
      </c>
      <c r="F104" s="130">
        <v>15807.99</v>
      </c>
      <c r="G104" s="130">
        <f t="shared" ref="G104:G110" si="2">E104*F104</f>
        <v>284543.82</v>
      </c>
    </row>
    <row r="105" spans="1:7" ht="15" customHeight="1">
      <c r="A105" s="10">
        <v>15</v>
      </c>
      <c r="B105" s="98" t="s">
        <v>522</v>
      </c>
      <c r="C105" s="21" t="s">
        <v>523</v>
      </c>
      <c r="D105" s="98" t="s">
        <v>137</v>
      </c>
      <c r="E105" s="101">
        <v>72</v>
      </c>
      <c r="F105" s="130">
        <v>26568.05</v>
      </c>
      <c r="G105" s="130">
        <f t="shared" si="2"/>
        <v>1912899.6</v>
      </c>
    </row>
    <row r="106" spans="1:7" ht="15" customHeight="1">
      <c r="A106" s="10">
        <v>16</v>
      </c>
      <c r="B106" s="98" t="s">
        <v>524</v>
      </c>
      <c r="C106" s="21" t="s">
        <v>525</v>
      </c>
      <c r="D106" s="98" t="s">
        <v>137</v>
      </c>
      <c r="E106" s="101">
        <v>95</v>
      </c>
      <c r="F106" s="130">
        <v>19483.240000000002</v>
      </c>
      <c r="G106" s="130">
        <f t="shared" si="2"/>
        <v>1850907.8</v>
      </c>
    </row>
    <row r="107" spans="1:7" ht="15" customHeight="1">
      <c r="A107" s="10">
        <v>17</v>
      </c>
      <c r="B107" s="98" t="s">
        <v>526</v>
      </c>
      <c r="C107" s="21" t="s">
        <v>527</v>
      </c>
      <c r="D107" s="98" t="s">
        <v>374</v>
      </c>
      <c r="E107" s="101">
        <v>3</v>
      </c>
      <c r="F107" s="130">
        <v>8280.3799999999992</v>
      </c>
      <c r="G107" s="130">
        <f t="shared" si="2"/>
        <v>24841.14</v>
      </c>
    </row>
    <row r="108" spans="1:7" ht="15" customHeight="1">
      <c r="A108" s="10">
        <v>18</v>
      </c>
      <c r="B108" s="98" t="s">
        <v>528</v>
      </c>
      <c r="C108" s="21" t="s">
        <v>529</v>
      </c>
      <c r="D108" s="98" t="s">
        <v>374</v>
      </c>
      <c r="E108" s="101">
        <v>3</v>
      </c>
      <c r="F108" s="130">
        <v>6774.85</v>
      </c>
      <c r="G108" s="130">
        <f t="shared" si="2"/>
        <v>20324.55</v>
      </c>
    </row>
    <row r="109" spans="1:7" ht="15" customHeight="1">
      <c r="A109" s="10">
        <v>19</v>
      </c>
      <c r="B109" s="98" t="s">
        <v>530</v>
      </c>
      <c r="C109" s="21" t="s">
        <v>531</v>
      </c>
      <c r="D109" s="98" t="s">
        <v>374</v>
      </c>
      <c r="E109" s="101">
        <v>6</v>
      </c>
      <c r="F109" s="130">
        <v>4428.01</v>
      </c>
      <c r="G109" s="130">
        <f t="shared" si="2"/>
        <v>26568.06</v>
      </c>
    </row>
    <row r="110" spans="1:7" ht="15" customHeight="1">
      <c r="A110" s="10">
        <v>20</v>
      </c>
      <c r="B110" s="98" t="s">
        <v>532</v>
      </c>
      <c r="C110" s="21" t="s">
        <v>533</v>
      </c>
      <c r="D110" s="98" t="s">
        <v>374</v>
      </c>
      <c r="E110" s="101">
        <v>2</v>
      </c>
      <c r="F110" s="130">
        <v>255938.87</v>
      </c>
      <c r="G110" s="130">
        <f t="shared" si="2"/>
        <v>511877.74</v>
      </c>
    </row>
    <row r="111" spans="1:7" s="181" customFormat="1" ht="15" customHeight="1">
      <c r="A111" s="10"/>
      <c r="B111" s="98"/>
      <c r="C111" s="21"/>
      <c r="D111" s="98"/>
      <c r="E111" s="101"/>
      <c r="F111" s="130"/>
      <c r="G111" s="130"/>
    </row>
    <row r="112" spans="1:7" ht="15" customHeight="1">
      <c r="A112" s="10"/>
      <c r="B112" s="10"/>
      <c r="C112" s="178"/>
      <c r="D112" s="10"/>
      <c r="E112" s="13"/>
      <c r="F112" s="130"/>
      <c r="G112" s="130"/>
    </row>
    <row r="113" spans="1:7" ht="15" customHeight="1">
      <c r="A113" s="506"/>
      <c r="B113" s="506"/>
      <c r="C113" s="512"/>
      <c r="D113" s="506"/>
      <c r="E113" s="513"/>
      <c r="F113" s="510"/>
      <c r="G113" s="510"/>
    </row>
    <row r="114" spans="1:7" ht="15" customHeight="1">
      <c r="A114" s="506"/>
      <c r="B114" s="506"/>
      <c r="C114" s="512"/>
      <c r="D114" s="506"/>
      <c r="E114" s="513"/>
      <c r="F114" s="510"/>
      <c r="G114" s="510"/>
    </row>
    <row r="115" spans="1:7" ht="15" customHeight="1">
      <c r="A115" s="506"/>
      <c r="B115" s="506"/>
      <c r="C115" s="512"/>
      <c r="D115" s="506"/>
      <c r="E115" s="513"/>
      <c r="F115" s="510"/>
      <c r="G115" s="510"/>
    </row>
    <row r="116" spans="1:7" ht="15" customHeight="1">
      <c r="A116" s="506"/>
      <c r="B116" s="506"/>
      <c r="C116" s="512"/>
      <c r="D116" s="506"/>
      <c r="E116" s="513"/>
      <c r="F116" s="510"/>
      <c r="G116" s="510"/>
    </row>
    <row r="117" spans="1:7" ht="15" customHeight="1">
      <c r="A117" s="506"/>
      <c r="B117" s="506"/>
      <c r="C117" s="512"/>
      <c r="D117" s="506"/>
      <c r="E117" s="513"/>
      <c r="F117" s="510"/>
      <c r="G117" s="510"/>
    </row>
    <row r="118" spans="1:7" ht="15" customHeight="1">
      <c r="A118" s="506"/>
      <c r="B118" s="506"/>
      <c r="C118" s="512"/>
      <c r="D118" s="506"/>
      <c r="E118" s="513"/>
      <c r="F118" s="510"/>
      <c r="G118" s="510"/>
    </row>
    <row r="119" spans="1:7" ht="15" customHeight="1">
      <c r="A119" s="506"/>
      <c r="B119" s="506"/>
      <c r="C119" s="512"/>
      <c r="D119" s="506"/>
      <c r="E119" s="513"/>
      <c r="F119" s="510"/>
      <c r="G119" s="510"/>
    </row>
    <row r="120" spans="1:7" ht="15" customHeight="1">
      <c r="A120" s="506"/>
      <c r="B120" s="506"/>
      <c r="C120" s="512"/>
      <c r="D120" s="506"/>
      <c r="E120" s="513"/>
      <c r="F120" s="510"/>
      <c r="G120" s="510"/>
    </row>
    <row r="121" spans="1:7" ht="15" customHeight="1">
      <c r="A121" s="506"/>
      <c r="B121" s="506"/>
      <c r="C121" s="512"/>
      <c r="D121" s="506"/>
      <c r="E121" s="513"/>
      <c r="F121" s="510"/>
      <c r="G121" s="510"/>
    </row>
    <row r="122" spans="1:7" ht="15" customHeight="1">
      <c r="A122" s="506"/>
      <c r="B122" s="506"/>
      <c r="C122" s="512"/>
      <c r="D122" s="506"/>
      <c r="E122" s="513"/>
      <c r="F122" s="510"/>
      <c r="G122" s="510"/>
    </row>
    <row r="123" spans="1:7" ht="15" customHeight="1">
      <c r="A123" s="506"/>
      <c r="B123" s="506"/>
      <c r="C123" s="512"/>
      <c r="D123" s="506"/>
      <c r="E123" s="513"/>
      <c r="F123" s="510"/>
      <c r="G123" s="510"/>
    </row>
    <row r="124" spans="1:7" ht="15" customHeight="1">
      <c r="A124" s="506"/>
      <c r="B124" s="506"/>
      <c r="C124" s="512"/>
      <c r="D124" s="506"/>
      <c r="E124" s="513"/>
      <c r="F124" s="510"/>
      <c r="G124" s="510"/>
    </row>
    <row r="125" spans="1:7" ht="13.5">
      <c r="A125" s="98"/>
      <c r="B125" s="98"/>
      <c r="C125" s="21"/>
      <c r="D125" s="98"/>
      <c r="E125" s="101"/>
      <c r="F125" s="130"/>
      <c r="G125" s="130"/>
    </row>
    <row r="126" spans="1:7" s="181" customFormat="1" ht="15" customHeight="1">
      <c r="A126" s="176"/>
      <c r="B126" s="177"/>
      <c r="C126" s="178"/>
      <c r="D126" s="177"/>
      <c r="E126" s="179"/>
      <c r="F126" s="180"/>
      <c r="G126" s="180"/>
    </row>
    <row r="127" spans="1:7" s="181" customFormat="1" ht="15" customHeight="1">
      <c r="A127" s="176"/>
      <c r="B127" s="177"/>
      <c r="C127" s="178"/>
      <c r="D127" s="177"/>
      <c r="E127" s="179"/>
      <c r="F127" s="180"/>
      <c r="G127" s="180"/>
    </row>
    <row r="128" spans="1:7" s="181" customFormat="1" ht="15" customHeight="1">
      <c r="A128" s="176"/>
      <c r="B128" s="177"/>
      <c r="C128" s="178"/>
      <c r="D128" s="177"/>
      <c r="E128" s="179"/>
      <c r="F128" s="180"/>
      <c r="G128" s="180"/>
    </row>
    <row r="129" spans="1:10" ht="15" customHeight="1">
      <c r="A129" s="10"/>
      <c r="B129" s="98"/>
      <c r="C129" s="21"/>
      <c r="D129" s="98"/>
      <c r="E129" s="101"/>
      <c r="F129" s="130"/>
      <c r="G129" s="130"/>
    </row>
    <row r="130" spans="1:10" ht="15" customHeight="1">
      <c r="A130" s="10"/>
      <c r="B130" s="98"/>
      <c r="C130" s="21"/>
      <c r="D130" s="98"/>
      <c r="E130" s="101"/>
      <c r="F130" s="130"/>
      <c r="G130" s="130"/>
    </row>
    <row r="131" spans="1:10" ht="13.5">
      <c r="A131" s="10"/>
      <c r="B131" s="98"/>
      <c r="C131" s="21"/>
      <c r="D131" s="98"/>
      <c r="E131" s="101"/>
      <c r="F131" s="130"/>
      <c r="G131" s="130"/>
    </row>
    <row r="132" spans="1:10" ht="15" customHeight="1">
      <c r="A132" s="10"/>
      <c r="B132" s="98"/>
      <c r="C132" s="21"/>
      <c r="D132" s="98"/>
      <c r="E132" s="101"/>
      <c r="F132" s="130"/>
      <c r="G132" s="130"/>
    </row>
    <row r="133" spans="1:10" ht="15" customHeight="1">
      <c r="A133" s="10"/>
      <c r="B133" s="98"/>
      <c r="C133" s="21"/>
      <c r="D133" s="98"/>
      <c r="E133" s="101"/>
      <c r="F133" s="130"/>
      <c r="G133" s="130"/>
      <c r="J133">
        <f>27*12</f>
        <v>324</v>
      </c>
    </row>
    <row r="134" spans="1:10" ht="15" customHeight="1">
      <c r="A134" s="10"/>
      <c r="B134" s="98"/>
      <c r="C134" s="21"/>
      <c r="D134" s="98"/>
      <c r="E134" s="101"/>
      <c r="F134" s="130"/>
      <c r="G134" s="130"/>
    </row>
    <row r="135" spans="1:10" ht="13.5">
      <c r="A135" s="10"/>
      <c r="B135" s="98"/>
      <c r="C135" s="21"/>
      <c r="D135" s="98"/>
      <c r="E135" s="101"/>
      <c r="F135" s="130"/>
      <c r="G135" s="130"/>
    </row>
    <row r="136" spans="1:10" ht="13.5">
      <c r="A136" s="10"/>
      <c r="B136" s="98"/>
      <c r="C136" s="21"/>
      <c r="D136" s="98"/>
      <c r="E136" s="101"/>
      <c r="F136" s="130"/>
      <c r="G136" s="130"/>
    </row>
    <row r="137" spans="1:10" ht="13.5">
      <c r="A137" s="10"/>
      <c r="B137" s="98"/>
      <c r="C137" s="21"/>
      <c r="D137" s="98"/>
      <c r="E137" s="101"/>
      <c r="F137" s="130"/>
      <c r="G137" s="130"/>
    </row>
    <row r="138" spans="1:10" ht="15" customHeight="1">
      <c r="A138" s="10"/>
      <c r="B138" s="98"/>
      <c r="C138" s="21"/>
      <c r="D138" s="98"/>
      <c r="E138" s="101"/>
      <c r="F138" s="130"/>
      <c r="G138" s="130"/>
    </row>
    <row r="139" spans="1:10" ht="15" customHeight="1">
      <c r="A139" s="10"/>
      <c r="B139" s="98"/>
      <c r="C139" s="21"/>
      <c r="D139" s="98"/>
      <c r="E139" s="101"/>
      <c r="F139" s="130"/>
      <c r="G139" s="130"/>
    </row>
    <row r="140" spans="1:10" ht="15" customHeight="1">
      <c r="A140" s="708" t="s">
        <v>559</v>
      </c>
      <c r="B140" s="709"/>
      <c r="C140" s="709"/>
      <c r="D140" s="709"/>
      <c r="E140" s="709"/>
      <c r="F140" s="710"/>
      <c r="G140" s="166">
        <f>SUM(G100:G139)</f>
        <v>53339166.439999998</v>
      </c>
    </row>
    <row r="142" spans="1:10" ht="13.5">
      <c r="A142" s="116"/>
      <c r="B142" s="117"/>
      <c r="C142" s="118"/>
      <c r="D142" s="119"/>
      <c r="E142" s="119"/>
      <c r="F142" s="119"/>
      <c r="G142" s="120"/>
    </row>
    <row r="143" spans="1:10" s="1" customFormat="1" ht="23.25" customHeight="1">
      <c r="A143" s="121"/>
      <c r="B143" s="122"/>
      <c r="C143" s="122"/>
      <c r="D143" s="123"/>
      <c r="E143" s="123"/>
      <c r="F143" s="123"/>
      <c r="G143" s="121"/>
    </row>
    <row r="144" spans="1:10" ht="13.5">
      <c r="A144" s="124"/>
      <c r="B144" s="117"/>
      <c r="C144" s="118"/>
      <c r="D144" s="119"/>
      <c r="E144" s="119"/>
      <c r="F144" s="119"/>
      <c r="G144" s="120"/>
    </row>
    <row r="145" spans="1:7" ht="13.5">
      <c r="A145" s="116"/>
      <c r="B145" s="117"/>
      <c r="C145" s="118"/>
      <c r="D145" s="119"/>
      <c r="E145" s="119"/>
      <c r="F145" s="119"/>
      <c r="G145" s="120"/>
    </row>
  </sheetData>
  <mergeCells count="13">
    <mergeCell ref="A10:C10"/>
    <mergeCell ref="D10:G10"/>
    <mergeCell ref="A11:B11"/>
    <mergeCell ref="C11:C12"/>
    <mergeCell ref="D11:D12"/>
    <mergeCell ref="E11:E12"/>
    <mergeCell ref="F11:F12"/>
    <mergeCell ref="G11:G12"/>
    <mergeCell ref="A47:F47"/>
    <mergeCell ref="A63:F63"/>
    <mergeCell ref="A80:F80"/>
    <mergeCell ref="A100:F100"/>
    <mergeCell ref="A140:F140"/>
  </mergeCells>
  <pageMargins left="0.7" right="0.42" top="0.75" bottom="0.75" header="0.3" footer="0.3"/>
  <pageSetup paperSize="9" scale="8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6"/>
  <sheetViews>
    <sheetView view="pageBreakPreview" topLeftCell="A10" zoomScale="80" zoomScaleSheetLayoutView="80" workbookViewId="0">
      <selection activeCell="C26" sqref="C26"/>
    </sheetView>
  </sheetViews>
  <sheetFormatPr defaultRowHeight="12.75"/>
  <cols>
    <col min="1" max="1" width="5.66015625" style="82" customWidth="1"/>
    <col min="2" max="2" width="9.84375" style="83" customWidth="1"/>
    <col min="3" max="3" width="46.1171875" style="83" customWidth="1"/>
    <col min="4" max="4" width="6.7421875" style="82" customWidth="1"/>
    <col min="5" max="5" width="10.24609375" style="84" bestFit="1" customWidth="1"/>
    <col min="6" max="6" width="12.67578125" style="85" customWidth="1"/>
    <col min="7" max="7" width="16.44921875" style="85" bestFit="1" customWidth="1"/>
  </cols>
  <sheetData>
    <row r="1" spans="1:7" s="29" customFormat="1" ht="16.899999999999999" customHeight="1">
      <c r="A1" s="47" t="s">
        <v>51</v>
      </c>
      <c r="B1" s="47"/>
      <c r="C1" s="48" t="str">
        <f>'Bill 1'!C1</f>
        <v>:MISCELLANEOUS FOREIGN AIDED PROJECT</v>
      </c>
      <c r="D1" s="47"/>
      <c r="E1" s="47"/>
      <c r="F1" s="47"/>
      <c r="G1" s="47"/>
    </row>
    <row r="2" spans="1:7" s="29" customFormat="1" ht="16.899999999999999" customHeight="1">
      <c r="A2" s="47" t="s">
        <v>52</v>
      </c>
      <c r="B2" s="47"/>
      <c r="C2" s="48" t="str">
        <f>'Bill 1'!C2</f>
        <v>REHABILITATION OF THE A-017 ROAD CORRIDOR PROJECT (SURIYAKANDA - RAKWANA)</v>
      </c>
      <c r="D2" s="47"/>
      <c r="E2" s="47"/>
      <c r="F2" s="47"/>
      <c r="G2" s="47"/>
    </row>
    <row r="3" spans="1:7" s="29" customFormat="1" ht="16.899999999999999" customHeight="1">
      <c r="A3" s="47" t="s">
        <v>52</v>
      </c>
      <c r="B3" s="47"/>
      <c r="C3" s="48" t="str">
        <f>'Bill 1'!C3</f>
        <v>FUNDED BY OPEC FUND FOR INTERNATIONAL DEVELOPMENT (OFID)</v>
      </c>
      <c r="D3" s="47"/>
      <c r="E3" s="47"/>
      <c r="F3" s="47"/>
      <c r="G3" s="47"/>
    </row>
    <row r="4" spans="1:7" s="29" customFormat="1" ht="16.899999999999999" customHeight="1">
      <c r="A4" s="47"/>
      <c r="B4" s="47"/>
      <c r="C4" s="48" t="str">
        <f>'Bill 1'!C4</f>
        <v>SECTION FROM CH. 112+600 KM TO CH. 118+600 KM</v>
      </c>
      <c r="D4" s="47"/>
      <c r="E4" s="47"/>
      <c r="F4" s="47"/>
      <c r="G4" s="47"/>
    </row>
    <row r="5" spans="1:7" s="29" customFormat="1" ht="5.25" customHeight="1">
      <c r="A5" s="47"/>
      <c r="B5" s="47"/>
      <c r="C5" s="48"/>
      <c r="D5" s="47"/>
      <c r="E5" s="47"/>
      <c r="F5" s="47"/>
      <c r="G5" s="47"/>
    </row>
    <row r="6" spans="1:7" s="29" customFormat="1" ht="16.899999999999999" customHeight="1">
      <c r="A6" s="47" t="s">
        <v>53</v>
      </c>
      <c r="B6" s="47"/>
      <c r="C6" s="48" t="str">
        <f>'Bill 1'!C6</f>
        <v>:RDA/MFAP/ICB/OFID-04(A)</v>
      </c>
      <c r="D6" s="47"/>
      <c r="E6" s="47"/>
      <c r="F6" s="47"/>
      <c r="G6" s="47"/>
    </row>
    <row r="7" spans="1:7" s="29" customFormat="1" ht="15.95" customHeight="1">
      <c r="A7" s="48"/>
      <c r="B7" s="47"/>
      <c r="C7" s="47"/>
      <c r="D7" s="51"/>
      <c r="E7" s="51"/>
      <c r="F7" s="51"/>
      <c r="G7" s="51"/>
    </row>
    <row r="8" spans="1:7" s="29" customFormat="1" ht="8.25" customHeight="1">
      <c r="A8" s="2"/>
      <c r="B8" s="3"/>
      <c r="C8" s="3"/>
      <c r="D8" s="4"/>
      <c r="E8" s="4"/>
      <c r="F8" s="4"/>
      <c r="G8" s="4"/>
    </row>
    <row r="9" spans="1:7" s="29" customFormat="1" ht="21" customHeight="1">
      <c r="A9" s="125" t="s">
        <v>554</v>
      </c>
      <c r="B9" s="88"/>
      <c r="C9" s="88"/>
      <c r="D9" s="35"/>
      <c r="E9" s="35"/>
      <c r="F9" s="35"/>
      <c r="G9" s="35"/>
    </row>
    <row r="10" spans="1:7" s="29" customFormat="1" ht="16.5" customHeight="1">
      <c r="A10" s="695"/>
      <c r="B10" s="695"/>
      <c r="C10" s="695"/>
      <c r="D10" s="696" t="s">
        <v>56</v>
      </c>
      <c r="E10" s="697"/>
      <c r="F10" s="697"/>
      <c r="G10" s="698"/>
    </row>
    <row r="11" spans="1:7" s="29" customFormat="1" ht="16.5" customHeight="1">
      <c r="A11" s="699" t="s">
        <v>138</v>
      </c>
      <c r="B11" s="699"/>
      <c r="C11" s="699" t="s">
        <v>74</v>
      </c>
      <c r="D11" s="699" t="s">
        <v>139</v>
      </c>
      <c r="E11" s="699" t="s">
        <v>140</v>
      </c>
      <c r="F11" s="699" t="s">
        <v>141</v>
      </c>
      <c r="G11" s="699" t="s">
        <v>57</v>
      </c>
    </row>
    <row r="12" spans="1:7" s="29" customFormat="1" ht="16.5" customHeight="1">
      <c r="A12" s="87" t="s">
        <v>0</v>
      </c>
      <c r="B12" s="87" t="s">
        <v>1</v>
      </c>
      <c r="C12" s="699"/>
      <c r="D12" s="699"/>
      <c r="E12" s="699"/>
      <c r="F12" s="699"/>
      <c r="G12" s="699"/>
    </row>
    <row r="13" spans="1:7" ht="13.5">
      <c r="A13" s="89">
        <v>8.1</v>
      </c>
      <c r="B13" s="91"/>
      <c r="C13" s="89" t="s">
        <v>534</v>
      </c>
      <c r="D13" s="90"/>
      <c r="E13" s="90"/>
      <c r="F13" s="91"/>
      <c r="G13" s="94"/>
    </row>
    <row r="14" spans="1:7" ht="15" customHeight="1">
      <c r="A14" s="6">
        <v>1</v>
      </c>
      <c r="B14" s="6"/>
      <c r="C14" s="153" t="s">
        <v>535</v>
      </c>
      <c r="D14" s="6" t="s">
        <v>536</v>
      </c>
      <c r="E14" s="9">
        <v>60</v>
      </c>
      <c r="F14" s="127">
        <v>885.61</v>
      </c>
      <c r="G14" s="127">
        <f>E14*F14</f>
        <v>53136.6</v>
      </c>
    </row>
    <row r="15" spans="1:7" ht="15" customHeight="1">
      <c r="A15" s="10">
        <v>2</v>
      </c>
      <c r="B15" s="10"/>
      <c r="C15" s="21" t="s">
        <v>537</v>
      </c>
      <c r="D15" s="10" t="s">
        <v>536</v>
      </c>
      <c r="E15" s="13">
        <v>90</v>
      </c>
      <c r="F15" s="130">
        <v>442.81</v>
      </c>
      <c r="G15" s="130">
        <f>E15*F15</f>
        <v>39852.9</v>
      </c>
    </row>
    <row r="16" spans="1:7" ht="15" customHeight="1">
      <c r="A16" s="98">
        <v>3</v>
      </c>
      <c r="B16" s="98"/>
      <c r="C16" s="21" t="s">
        <v>538</v>
      </c>
      <c r="D16" s="98" t="s">
        <v>536</v>
      </c>
      <c r="E16" s="101">
        <v>90</v>
      </c>
      <c r="F16" s="130">
        <v>442.8</v>
      </c>
      <c r="G16" s="130">
        <f t="shared" ref="G16:G31" si="0">E16*F16</f>
        <v>39852</v>
      </c>
    </row>
    <row r="17" spans="1:7" ht="15" customHeight="1">
      <c r="A17" s="10">
        <v>4</v>
      </c>
      <c r="B17" s="98"/>
      <c r="C17" s="21" t="s">
        <v>539</v>
      </c>
      <c r="D17" s="98" t="s">
        <v>536</v>
      </c>
      <c r="E17" s="101">
        <v>90</v>
      </c>
      <c r="F17" s="130">
        <v>398.52</v>
      </c>
      <c r="G17" s="130">
        <f t="shared" si="0"/>
        <v>35866.800000000003</v>
      </c>
    </row>
    <row r="18" spans="1:7" ht="15" customHeight="1">
      <c r="A18" s="176">
        <v>5</v>
      </c>
      <c r="B18" s="177"/>
      <c r="C18" s="21" t="s">
        <v>540</v>
      </c>
      <c r="D18" s="98" t="s">
        <v>536</v>
      </c>
      <c r="E18" s="101">
        <v>60</v>
      </c>
      <c r="F18" s="130">
        <v>398.52</v>
      </c>
      <c r="G18" s="130">
        <f t="shared" si="0"/>
        <v>23911.200000000001</v>
      </c>
    </row>
    <row r="19" spans="1:7" ht="15" customHeight="1">
      <c r="A19" s="10">
        <v>6</v>
      </c>
      <c r="B19" s="98"/>
      <c r="C19" s="21" t="s">
        <v>541</v>
      </c>
      <c r="D19" s="98" t="s">
        <v>536</v>
      </c>
      <c r="E19" s="101">
        <v>60</v>
      </c>
      <c r="F19" s="130">
        <v>398.52</v>
      </c>
      <c r="G19" s="130">
        <f t="shared" si="0"/>
        <v>23911.200000000001</v>
      </c>
    </row>
    <row r="20" spans="1:7" ht="15" customHeight="1">
      <c r="A20" s="10">
        <v>7</v>
      </c>
      <c r="B20" s="98"/>
      <c r="C20" s="21" t="s">
        <v>542</v>
      </c>
      <c r="D20" s="98" t="s">
        <v>536</v>
      </c>
      <c r="E20" s="101">
        <v>120</v>
      </c>
      <c r="F20" s="130">
        <v>398.52</v>
      </c>
      <c r="G20" s="130">
        <f t="shared" si="0"/>
        <v>47822.400000000001</v>
      </c>
    </row>
    <row r="21" spans="1:7" ht="15" customHeight="1">
      <c r="A21" s="10">
        <v>8</v>
      </c>
      <c r="B21" s="98"/>
      <c r="C21" s="21" t="s">
        <v>543</v>
      </c>
      <c r="D21" s="98" t="s">
        <v>536</v>
      </c>
      <c r="E21" s="101">
        <v>120</v>
      </c>
      <c r="F21" s="130">
        <v>398.52</v>
      </c>
      <c r="G21" s="130">
        <f t="shared" si="0"/>
        <v>47822.400000000001</v>
      </c>
    </row>
    <row r="22" spans="1:7" ht="15" customHeight="1">
      <c r="A22" s="10">
        <v>9</v>
      </c>
      <c r="B22" s="98"/>
      <c r="C22" s="21" t="s">
        <v>544</v>
      </c>
      <c r="D22" s="98" t="s">
        <v>536</v>
      </c>
      <c r="E22" s="101">
        <v>110</v>
      </c>
      <c r="F22" s="130">
        <v>332.1</v>
      </c>
      <c r="G22" s="130">
        <f t="shared" si="0"/>
        <v>36531</v>
      </c>
    </row>
    <row r="23" spans="1:7" s="181" customFormat="1" ht="15" customHeight="1">
      <c r="A23" s="10">
        <v>10</v>
      </c>
      <c r="B23" s="177"/>
      <c r="C23" s="21" t="s">
        <v>545</v>
      </c>
      <c r="D23" s="98" t="s">
        <v>536</v>
      </c>
      <c r="E23" s="101">
        <v>110</v>
      </c>
      <c r="F23" s="130">
        <v>265.68</v>
      </c>
      <c r="G23" s="130">
        <f t="shared" si="0"/>
        <v>29224.799999999999</v>
      </c>
    </row>
    <row r="24" spans="1:7" ht="15" customHeight="1">
      <c r="A24" s="10">
        <v>11</v>
      </c>
      <c r="B24" s="98"/>
      <c r="C24" s="21" t="s">
        <v>546</v>
      </c>
      <c r="D24" s="98" t="s">
        <v>536</v>
      </c>
      <c r="E24" s="101">
        <v>45</v>
      </c>
      <c r="F24" s="130">
        <v>398.52</v>
      </c>
      <c r="G24" s="130">
        <f t="shared" si="0"/>
        <v>17933.400000000001</v>
      </c>
    </row>
    <row r="25" spans="1:7" ht="15" customHeight="1">
      <c r="A25" s="10">
        <v>12</v>
      </c>
      <c r="B25" s="98"/>
      <c r="C25" s="21" t="s">
        <v>547</v>
      </c>
      <c r="D25" s="98" t="s">
        <v>536</v>
      </c>
      <c r="E25" s="101">
        <v>45</v>
      </c>
      <c r="F25" s="130">
        <v>398.52</v>
      </c>
      <c r="G25" s="130">
        <f t="shared" si="0"/>
        <v>17933.400000000001</v>
      </c>
    </row>
    <row r="26" spans="1:7" ht="15" customHeight="1">
      <c r="A26" s="10">
        <v>13</v>
      </c>
      <c r="B26" s="98"/>
      <c r="C26" s="21" t="s">
        <v>548</v>
      </c>
      <c r="D26" s="98" t="s">
        <v>536</v>
      </c>
      <c r="E26" s="101">
        <v>45</v>
      </c>
      <c r="F26" s="130">
        <v>398.52</v>
      </c>
      <c r="G26" s="130">
        <f t="shared" si="0"/>
        <v>17933.400000000001</v>
      </c>
    </row>
    <row r="27" spans="1:7" ht="15" customHeight="1">
      <c r="A27" s="10">
        <v>14</v>
      </c>
      <c r="B27" s="98"/>
      <c r="C27" s="21" t="s">
        <v>549</v>
      </c>
      <c r="D27" s="98" t="s">
        <v>536</v>
      </c>
      <c r="E27" s="101">
        <v>80</v>
      </c>
      <c r="F27" s="130">
        <v>398.52</v>
      </c>
      <c r="G27" s="130">
        <f t="shared" si="0"/>
        <v>31881.599999999999</v>
      </c>
    </row>
    <row r="28" spans="1:7" ht="15" customHeight="1">
      <c r="A28" s="10">
        <v>15</v>
      </c>
      <c r="B28" s="98"/>
      <c r="C28" s="21" t="s">
        <v>550</v>
      </c>
      <c r="D28" s="98" t="s">
        <v>536</v>
      </c>
      <c r="E28" s="101">
        <v>80</v>
      </c>
      <c r="F28" s="130">
        <v>442.8</v>
      </c>
      <c r="G28" s="130">
        <f t="shared" si="0"/>
        <v>35424</v>
      </c>
    </row>
    <row r="29" spans="1:7" s="181" customFormat="1" ht="15" customHeight="1">
      <c r="A29" s="10">
        <v>16</v>
      </c>
      <c r="B29" s="177"/>
      <c r="C29" s="21" t="s">
        <v>551</v>
      </c>
      <c r="D29" s="98" t="s">
        <v>536</v>
      </c>
      <c r="E29" s="101">
        <v>60</v>
      </c>
      <c r="F29" s="130">
        <v>442.8</v>
      </c>
      <c r="G29" s="130">
        <f t="shared" si="0"/>
        <v>26568</v>
      </c>
    </row>
    <row r="30" spans="1:7" ht="15" customHeight="1">
      <c r="A30" s="10">
        <v>17</v>
      </c>
      <c r="B30" s="98"/>
      <c r="C30" s="21" t="s">
        <v>552</v>
      </c>
      <c r="D30" s="98" t="s">
        <v>536</v>
      </c>
      <c r="E30" s="101">
        <v>240</v>
      </c>
      <c r="F30" s="130">
        <v>354.24</v>
      </c>
      <c r="G30" s="130">
        <f t="shared" si="0"/>
        <v>85017.600000000006</v>
      </c>
    </row>
    <row r="31" spans="1:7" ht="15" customHeight="1">
      <c r="A31" s="10">
        <v>18</v>
      </c>
      <c r="B31" s="98"/>
      <c r="C31" s="21" t="s">
        <v>553</v>
      </c>
      <c r="D31" s="98" t="s">
        <v>536</v>
      </c>
      <c r="E31" s="101">
        <v>550</v>
      </c>
      <c r="F31" s="130">
        <v>354.24</v>
      </c>
      <c r="G31" s="130">
        <f t="shared" si="0"/>
        <v>194832</v>
      </c>
    </row>
    <row r="32" spans="1:7" ht="15" customHeight="1">
      <c r="A32" s="10"/>
      <c r="B32" s="98"/>
      <c r="C32" s="21"/>
      <c r="D32" s="98"/>
      <c r="E32" s="101"/>
      <c r="F32" s="130"/>
      <c r="G32" s="130"/>
    </row>
    <row r="33" spans="1:7" ht="15" customHeight="1">
      <c r="A33" s="10"/>
      <c r="B33" s="98"/>
      <c r="C33" s="21"/>
      <c r="D33" s="98"/>
      <c r="E33" s="101"/>
      <c r="F33" s="130"/>
      <c r="G33" s="130"/>
    </row>
    <row r="34" spans="1:7" ht="15" customHeight="1">
      <c r="A34" s="10"/>
      <c r="B34" s="98"/>
      <c r="C34" s="21"/>
      <c r="D34" s="98"/>
      <c r="E34" s="101"/>
      <c r="F34" s="130"/>
      <c r="G34" s="130"/>
    </row>
    <row r="35" spans="1:7" ht="15" customHeight="1">
      <c r="A35" s="10"/>
      <c r="B35" s="98"/>
      <c r="C35" s="21"/>
      <c r="D35" s="98"/>
      <c r="E35" s="101"/>
      <c r="F35" s="130"/>
      <c r="G35" s="130"/>
    </row>
    <row r="36" spans="1:7" ht="15" customHeight="1">
      <c r="A36" s="10"/>
      <c r="B36" s="98"/>
      <c r="C36" s="21"/>
      <c r="D36" s="98"/>
      <c r="E36" s="101"/>
      <c r="F36" s="130"/>
      <c r="G36" s="130"/>
    </row>
    <row r="37" spans="1:7" s="181" customFormat="1" ht="15" customHeight="1">
      <c r="A37" s="176"/>
      <c r="B37" s="177"/>
      <c r="C37" s="178"/>
      <c r="D37" s="177"/>
      <c r="E37" s="179"/>
      <c r="F37" s="180"/>
      <c r="G37" s="180"/>
    </row>
    <row r="38" spans="1:7" ht="15" customHeight="1">
      <c r="A38" s="10"/>
      <c r="B38" s="98"/>
      <c r="C38" s="21"/>
      <c r="D38" s="98"/>
      <c r="E38" s="101"/>
      <c r="F38" s="130"/>
      <c r="G38" s="130"/>
    </row>
    <row r="39" spans="1:7" ht="15" customHeight="1">
      <c r="A39" s="10"/>
      <c r="B39" s="98"/>
      <c r="C39" s="21"/>
      <c r="D39" s="98"/>
      <c r="E39" s="101"/>
      <c r="F39" s="130"/>
      <c r="G39" s="130"/>
    </row>
    <row r="40" spans="1:7" ht="15" customHeight="1">
      <c r="A40" s="10"/>
      <c r="B40" s="98"/>
      <c r="C40" s="21"/>
      <c r="D40" s="98"/>
      <c r="E40" s="101"/>
      <c r="F40" s="130"/>
      <c r="G40" s="130"/>
    </row>
    <row r="41" spans="1:7" ht="13.5">
      <c r="A41" s="708" t="s">
        <v>560</v>
      </c>
      <c r="B41" s="709"/>
      <c r="C41" s="709"/>
      <c r="D41" s="709"/>
      <c r="E41" s="709"/>
      <c r="F41" s="710"/>
      <c r="G41" s="166">
        <f>SUM(G14:G38)</f>
        <v>805454.7</v>
      </c>
    </row>
    <row r="43" spans="1:7" s="1" customFormat="1" ht="13.5">
      <c r="A43" s="116"/>
      <c r="B43" s="117"/>
      <c r="C43" s="118"/>
      <c r="D43" s="119"/>
      <c r="E43" s="119"/>
      <c r="F43" s="119"/>
      <c r="G43" s="120"/>
    </row>
    <row r="44" spans="1:7" s="1" customFormat="1" ht="23.25" customHeight="1">
      <c r="A44" s="121"/>
      <c r="B44" s="122"/>
      <c r="C44" s="122"/>
      <c r="D44" s="123"/>
      <c r="E44" s="123"/>
      <c r="F44" s="123"/>
      <c r="G44" s="121"/>
    </row>
    <row r="45" spans="1:7" s="1" customFormat="1" ht="13.5">
      <c r="A45" s="124"/>
      <c r="B45" s="117"/>
      <c r="C45" s="118"/>
      <c r="D45" s="119"/>
      <c r="E45" s="119"/>
      <c r="F45" s="119"/>
      <c r="G45" s="120"/>
    </row>
    <row r="46" spans="1:7" s="1" customFormat="1" ht="13.5">
      <c r="A46" s="116"/>
      <c r="B46" s="117"/>
      <c r="C46" s="118"/>
      <c r="D46" s="119"/>
      <c r="E46" s="119"/>
      <c r="F46" s="119"/>
      <c r="G46" s="120"/>
    </row>
  </sheetData>
  <mergeCells count="9">
    <mergeCell ref="A41:F41"/>
    <mergeCell ref="A10:C10"/>
    <mergeCell ref="D10:G10"/>
    <mergeCell ref="A11:B11"/>
    <mergeCell ref="C11:C12"/>
    <mergeCell ref="D11:D12"/>
    <mergeCell ref="E11:E12"/>
    <mergeCell ref="F11:F12"/>
    <mergeCell ref="G11:G12"/>
  </mergeCells>
  <pageMargins left="0.7" right="0.7" top="0.75" bottom="0.75" header="0.3" footer="0.3"/>
  <pageSetup paperSize="9" scale="8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15"/>
  <sheetViews>
    <sheetView tabSelected="1" view="pageBreakPreview" zoomScale="80" zoomScaleSheetLayoutView="80" workbookViewId="0">
      <selection activeCell="D38" sqref="D38"/>
    </sheetView>
  </sheetViews>
  <sheetFormatPr defaultRowHeight="12.75"/>
  <cols>
    <col min="1" max="1" width="5.66015625" style="82" customWidth="1"/>
    <col min="2" max="2" width="9.84375" style="83" customWidth="1"/>
    <col min="3" max="3" width="46.1171875" style="83" customWidth="1"/>
    <col min="4" max="4" width="6.7421875" style="82" customWidth="1"/>
    <col min="5" max="5" width="10.24609375" style="84" bestFit="1" customWidth="1"/>
    <col min="6" max="6" width="12.67578125" style="85" customWidth="1"/>
    <col min="7" max="7" width="16.44921875" style="85" bestFit="1" customWidth="1"/>
  </cols>
  <sheetData>
    <row r="1" spans="1:7" s="29" customFormat="1" ht="16.899999999999999" customHeight="1">
      <c r="A1" s="47" t="s">
        <v>51</v>
      </c>
      <c r="B1" s="47"/>
      <c r="C1" s="48" t="str">
        <f>'Bill 1'!C1</f>
        <v>:MISCELLANEOUS FOREIGN AIDED PROJECT</v>
      </c>
      <c r="D1" s="47"/>
      <c r="E1" s="47"/>
      <c r="F1" s="47"/>
      <c r="G1" s="47"/>
    </row>
    <row r="2" spans="1:7" s="29" customFormat="1" ht="16.899999999999999" customHeight="1">
      <c r="A2" s="47" t="s">
        <v>52</v>
      </c>
      <c r="B2" s="47"/>
      <c r="C2" s="48" t="str">
        <f>'Bill 1'!C2</f>
        <v>REHABILITATION OF THE A-017 ROAD CORRIDOR PROJECT (SURIYAKANDA - RAKWANA)</v>
      </c>
      <c r="D2" s="47"/>
      <c r="E2" s="47"/>
      <c r="F2" s="47"/>
      <c r="G2" s="47"/>
    </row>
    <row r="3" spans="1:7" s="29" customFormat="1" ht="16.899999999999999" customHeight="1">
      <c r="A3" s="47" t="s">
        <v>52</v>
      </c>
      <c r="B3" s="47"/>
      <c r="C3" s="48" t="str">
        <f>'Bill 1'!C3</f>
        <v>FUNDED BY OPEC FUND FOR INTERNATIONAL DEVELOPMENT (OFID)</v>
      </c>
      <c r="D3" s="47"/>
      <c r="E3" s="47"/>
      <c r="F3" s="47"/>
      <c r="G3" s="47"/>
    </row>
    <row r="4" spans="1:7" s="29" customFormat="1" ht="16.899999999999999" customHeight="1">
      <c r="A4" s="47"/>
      <c r="B4" s="47"/>
      <c r="C4" s="48" t="str">
        <f>'Bill 1'!C4</f>
        <v>SECTION FROM CH. 112+600 KM TO CH. 118+600 KM</v>
      </c>
      <c r="D4" s="47"/>
      <c r="E4" s="47"/>
      <c r="F4" s="47"/>
      <c r="G4" s="47"/>
    </row>
    <row r="5" spans="1:7" s="29" customFormat="1" ht="5.25" customHeight="1">
      <c r="A5" s="47"/>
      <c r="B5" s="47"/>
      <c r="C5" s="48"/>
      <c r="D5" s="47"/>
      <c r="E5" s="47"/>
      <c r="F5" s="47"/>
      <c r="G5" s="47"/>
    </row>
    <row r="6" spans="1:7" s="29" customFormat="1" ht="16.899999999999999" customHeight="1">
      <c r="A6" s="47" t="s">
        <v>53</v>
      </c>
      <c r="B6" s="47"/>
      <c r="C6" s="48" t="str">
        <f>'Bill 1'!C6</f>
        <v>:RDA/MFAP/ICB/OFID-04(A)</v>
      </c>
      <c r="D6" s="47"/>
      <c r="E6" s="47"/>
      <c r="F6" s="47"/>
      <c r="G6" s="49"/>
    </row>
    <row r="7" spans="1:7" s="29" customFormat="1" ht="15.95" customHeight="1">
      <c r="A7" s="48"/>
      <c r="B7" s="47"/>
      <c r="C7" s="47"/>
      <c r="D7" s="51"/>
      <c r="E7" s="51"/>
      <c r="F7" s="51"/>
      <c r="G7" s="51"/>
    </row>
    <row r="8" spans="1:7" s="29" customFormat="1" ht="8.25" customHeight="1">
      <c r="A8" s="2"/>
      <c r="B8" s="3"/>
      <c r="C8" s="3"/>
      <c r="D8" s="4"/>
      <c r="E8" s="4"/>
      <c r="F8" s="4"/>
      <c r="G8" s="4"/>
    </row>
    <row r="9" spans="1:7" s="29" customFormat="1" ht="21" customHeight="1">
      <c r="A9" s="125" t="s">
        <v>554</v>
      </c>
      <c r="B9" s="88"/>
      <c r="C9" s="88"/>
      <c r="D9" s="35"/>
      <c r="E9" s="35"/>
      <c r="F9" s="35"/>
      <c r="G9" s="35"/>
    </row>
    <row r="10" spans="1:7" s="29" customFormat="1" ht="16.5" customHeight="1">
      <c r="A10" s="695"/>
      <c r="B10" s="695"/>
      <c r="C10" s="695"/>
      <c r="D10" s="696" t="s">
        <v>56</v>
      </c>
      <c r="E10" s="697"/>
      <c r="F10" s="697"/>
      <c r="G10" s="698"/>
    </row>
    <row r="11" spans="1:7" s="29" customFormat="1" ht="16.5" customHeight="1">
      <c r="A11" s="699" t="s">
        <v>138</v>
      </c>
      <c r="B11" s="699"/>
      <c r="C11" s="699" t="s">
        <v>74</v>
      </c>
      <c r="D11" s="699" t="s">
        <v>139</v>
      </c>
      <c r="E11" s="699" t="s">
        <v>140</v>
      </c>
      <c r="F11" s="699" t="s">
        <v>141</v>
      </c>
      <c r="G11" s="699" t="s">
        <v>57</v>
      </c>
    </row>
    <row r="12" spans="1:7" s="29" customFormat="1" ht="16.5" customHeight="1">
      <c r="A12" s="87" t="s">
        <v>0</v>
      </c>
      <c r="B12" s="87" t="s">
        <v>1</v>
      </c>
      <c r="C12" s="699"/>
      <c r="D12" s="699"/>
      <c r="E12" s="699"/>
      <c r="F12" s="699"/>
      <c r="G12" s="699"/>
    </row>
    <row r="13" spans="1:7" ht="13.5">
      <c r="A13" s="89">
        <v>8.1999999999999993</v>
      </c>
      <c r="B13" s="91"/>
      <c r="C13" s="89" t="s">
        <v>555</v>
      </c>
      <c r="D13" s="90"/>
      <c r="E13" s="90"/>
      <c r="F13" s="91"/>
      <c r="G13" s="94"/>
    </row>
    <row r="14" spans="1:7" ht="15" customHeight="1">
      <c r="A14" s="6">
        <v>1</v>
      </c>
      <c r="B14" s="6"/>
      <c r="C14" s="153" t="s">
        <v>561</v>
      </c>
      <c r="D14" s="6" t="s">
        <v>14</v>
      </c>
      <c r="E14" s="9">
        <v>500</v>
      </c>
      <c r="F14" s="127">
        <v>48.71</v>
      </c>
      <c r="G14" s="127">
        <f>E14*F14</f>
        <v>24355</v>
      </c>
    </row>
    <row r="15" spans="1:7" ht="15" customHeight="1">
      <c r="A15" s="10">
        <v>2</v>
      </c>
      <c r="B15" s="10"/>
      <c r="C15" s="21" t="s">
        <v>562</v>
      </c>
      <c r="D15" s="10" t="s">
        <v>14</v>
      </c>
      <c r="E15" s="13">
        <v>500</v>
      </c>
      <c r="F15" s="130">
        <v>66.42</v>
      </c>
      <c r="G15" s="130">
        <f>E15*F15</f>
        <v>33210</v>
      </c>
    </row>
    <row r="16" spans="1:7" ht="15" customHeight="1">
      <c r="A16" s="98">
        <v>3</v>
      </c>
      <c r="B16" s="98"/>
      <c r="C16" s="21" t="s">
        <v>563</v>
      </c>
      <c r="D16" s="98" t="s">
        <v>536</v>
      </c>
      <c r="E16" s="101">
        <v>20</v>
      </c>
      <c r="F16" s="130">
        <v>885.58</v>
      </c>
      <c r="G16" s="130">
        <f t="shared" ref="G16:G40" si="0">E16*F16</f>
        <v>17711.599999999999</v>
      </c>
    </row>
    <row r="17" spans="1:7" ht="15" customHeight="1">
      <c r="A17" s="10">
        <v>4</v>
      </c>
      <c r="B17" s="98"/>
      <c r="C17" s="21" t="s">
        <v>564</v>
      </c>
      <c r="D17" s="98" t="s">
        <v>536</v>
      </c>
      <c r="E17" s="101">
        <v>20</v>
      </c>
      <c r="F17" s="130">
        <v>1107</v>
      </c>
      <c r="G17" s="130">
        <f t="shared" si="0"/>
        <v>22140</v>
      </c>
    </row>
    <row r="18" spans="1:7" ht="15" customHeight="1">
      <c r="A18" s="176">
        <v>5</v>
      </c>
      <c r="B18" s="177"/>
      <c r="C18" s="21" t="s">
        <v>565</v>
      </c>
      <c r="D18" s="98" t="s">
        <v>536</v>
      </c>
      <c r="E18" s="101">
        <v>6</v>
      </c>
      <c r="F18" s="130">
        <v>8856.02</v>
      </c>
      <c r="G18" s="130">
        <f t="shared" si="0"/>
        <v>53136.12</v>
      </c>
    </row>
    <row r="19" spans="1:7" ht="15" customHeight="1">
      <c r="A19" s="10">
        <v>6</v>
      </c>
      <c r="B19" s="98"/>
      <c r="C19" s="21" t="s">
        <v>566</v>
      </c>
      <c r="D19" s="98" t="s">
        <v>536</v>
      </c>
      <c r="E19" s="101">
        <v>6</v>
      </c>
      <c r="F19" s="130">
        <v>1328.4</v>
      </c>
      <c r="G19" s="130">
        <f t="shared" si="0"/>
        <v>7970.4</v>
      </c>
    </row>
    <row r="20" spans="1:7" ht="15" customHeight="1">
      <c r="A20" s="10">
        <v>7</v>
      </c>
      <c r="B20" s="98"/>
      <c r="C20" s="21" t="s">
        <v>567</v>
      </c>
      <c r="D20" s="98" t="s">
        <v>536</v>
      </c>
      <c r="E20" s="101">
        <v>6</v>
      </c>
      <c r="F20" s="130">
        <v>885.6</v>
      </c>
      <c r="G20" s="130">
        <f t="shared" si="0"/>
        <v>5313.6</v>
      </c>
    </row>
    <row r="21" spans="1:7" ht="15" customHeight="1">
      <c r="A21" s="10">
        <v>8</v>
      </c>
      <c r="B21" s="98"/>
      <c r="C21" s="21" t="s">
        <v>568</v>
      </c>
      <c r="D21" s="98" t="s">
        <v>536</v>
      </c>
      <c r="E21" s="101">
        <v>6</v>
      </c>
      <c r="F21" s="130">
        <v>1106.99</v>
      </c>
      <c r="G21" s="130">
        <f t="shared" si="0"/>
        <v>6641.94</v>
      </c>
    </row>
    <row r="22" spans="1:7" ht="15" customHeight="1">
      <c r="A22" s="10">
        <v>9</v>
      </c>
      <c r="B22" s="98"/>
      <c r="C22" s="21" t="s">
        <v>569</v>
      </c>
      <c r="D22" s="98" t="s">
        <v>536</v>
      </c>
      <c r="E22" s="101">
        <v>8</v>
      </c>
      <c r="F22" s="130">
        <v>1594.07</v>
      </c>
      <c r="G22" s="130">
        <f t="shared" si="0"/>
        <v>12752.56</v>
      </c>
    </row>
    <row r="23" spans="1:7" s="181" customFormat="1" ht="15" customHeight="1">
      <c r="A23" s="10">
        <v>10</v>
      </c>
      <c r="B23" s="177"/>
      <c r="C23" s="21" t="s">
        <v>570</v>
      </c>
      <c r="D23" s="98" t="s">
        <v>536</v>
      </c>
      <c r="E23" s="101">
        <v>10</v>
      </c>
      <c r="F23" s="130">
        <v>1549.79</v>
      </c>
      <c r="G23" s="130">
        <f t="shared" si="0"/>
        <v>15497.9</v>
      </c>
    </row>
    <row r="24" spans="1:7" ht="15" customHeight="1">
      <c r="A24" s="10">
        <v>11</v>
      </c>
      <c r="B24" s="98"/>
      <c r="C24" s="21" t="s">
        <v>571</v>
      </c>
      <c r="D24" s="98" t="s">
        <v>536</v>
      </c>
      <c r="E24" s="101">
        <v>10</v>
      </c>
      <c r="F24" s="130">
        <v>1948.32</v>
      </c>
      <c r="G24" s="130">
        <f t="shared" si="0"/>
        <v>19483.2</v>
      </c>
    </row>
    <row r="25" spans="1:7" ht="15" customHeight="1">
      <c r="A25" s="10">
        <v>12</v>
      </c>
      <c r="B25" s="98"/>
      <c r="C25" s="21" t="s">
        <v>572</v>
      </c>
      <c r="D25" s="98" t="s">
        <v>536</v>
      </c>
      <c r="E25" s="101">
        <v>6</v>
      </c>
      <c r="F25" s="130">
        <v>2214</v>
      </c>
      <c r="G25" s="130">
        <f t="shared" si="0"/>
        <v>13284</v>
      </c>
    </row>
    <row r="26" spans="1:7" ht="15" customHeight="1">
      <c r="A26" s="10">
        <v>13</v>
      </c>
      <c r="B26" s="98"/>
      <c r="C26" s="21" t="s">
        <v>573</v>
      </c>
      <c r="D26" s="98" t="s">
        <v>536</v>
      </c>
      <c r="E26" s="101">
        <v>3</v>
      </c>
      <c r="F26" s="130">
        <v>3099.61</v>
      </c>
      <c r="G26" s="130">
        <f t="shared" si="0"/>
        <v>9298.83</v>
      </c>
    </row>
    <row r="27" spans="1:7" ht="15" customHeight="1">
      <c r="A27" s="10">
        <v>14</v>
      </c>
      <c r="B27" s="98"/>
      <c r="C27" s="21" t="s">
        <v>574</v>
      </c>
      <c r="D27" s="98" t="s">
        <v>536</v>
      </c>
      <c r="E27" s="101">
        <v>6</v>
      </c>
      <c r="F27" s="130">
        <v>3099.61</v>
      </c>
      <c r="G27" s="130">
        <f t="shared" si="0"/>
        <v>18597.66</v>
      </c>
    </row>
    <row r="28" spans="1:7" ht="15" customHeight="1">
      <c r="A28" s="10">
        <v>15</v>
      </c>
      <c r="B28" s="98"/>
      <c r="C28" s="21" t="s">
        <v>575</v>
      </c>
      <c r="D28" s="98" t="s">
        <v>536</v>
      </c>
      <c r="E28" s="101">
        <v>3</v>
      </c>
      <c r="F28" s="130">
        <v>4428.01</v>
      </c>
      <c r="G28" s="130">
        <f t="shared" si="0"/>
        <v>13284.03</v>
      </c>
    </row>
    <row r="29" spans="1:7" s="181" customFormat="1" ht="15" customHeight="1">
      <c r="A29" s="10">
        <v>16</v>
      </c>
      <c r="B29" s="177"/>
      <c r="C29" s="21" t="s">
        <v>576</v>
      </c>
      <c r="D29" s="98" t="s">
        <v>536</v>
      </c>
      <c r="E29" s="101">
        <v>6</v>
      </c>
      <c r="F29" s="130">
        <v>3099.61</v>
      </c>
      <c r="G29" s="130">
        <f t="shared" si="0"/>
        <v>18597.66</v>
      </c>
    </row>
    <row r="30" spans="1:7" ht="15" customHeight="1">
      <c r="A30" s="10">
        <v>17</v>
      </c>
      <c r="B30" s="98"/>
      <c r="C30" s="21" t="s">
        <v>577</v>
      </c>
      <c r="D30" s="98" t="s">
        <v>536</v>
      </c>
      <c r="E30" s="101">
        <v>6</v>
      </c>
      <c r="F30" s="130">
        <v>4428.01</v>
      </c>
      <c r="G30" s="130">
        <f t="shared" si="0"/>
        <v>26568.06</v>
      </c>
    </row>
    <row r="31" spans="1:7" ht="15" customHeight="1">
      <c r="A31" s="10">
        <v>18</v>
      </c>
      <c r="B31" s="98"/>
      <c r="C31" s="21" t="s">
        <v>578</v>
      </c>
      <c r="D31" s="98" t="s">
        <v>536</v>
      </c>
      <c r="E31" s="101">
        <v>6</v>
      </c>
      <c r="F31" s="130">
        <v>885.6</v>
      </c>
      <c r="G31" s="130">
        <f t="shared" si="0"/>
        <v>5313.6</v>
      </c>
    </row>
    <row r="32" spans="1:7" ht="15" customHeight="1">
      <c r="A32" s="10">
        <v>19</v>
      </c>
      <c r="B32" s="98"/>
      <c r="C32" s="21" t="s">
        <v>579</v>
      </c>
      <c r="D32" s="98" t="s">
        <v>536</v>
      </c>
      <c r="E32" s="101">
        <v>6</v>
      </c>
      <c r="F32" s="130">
        <v>708.48</v>
      </c>
      <c r="G32" s="130">
        <f t="shared" si="0"/>
        <v>4250.88</v>
      </c>
    </row>
    <row r="33" spans="1:7" ht="15" customHeight="1">
      <c r="A33" s="10">
        <v>20</v>
      </c>
      <c r="B33" s="98"/>
      <c r="C33" s="21" t="s">
        <v>580</v>
      </c>
      <c r="D33" s="98" t="s">
        <v>536</v>
      </c>
      <c r="E33" s="101">
        <v>8</v>
      </c>
      <c r="F33" s="130">
        <v>442.8</v>
      </c>
      <c r="G33" s="130">
        <f t="shared" si="0"/>
        <v>3542.4</v>
      </c>
    </row>
    <row r="34" spans="1:7" ht="15" customHeight="1">
      <c r="A34" s="10">
        <v>21</v>
      </c>
      <c r="B34" s="98"/>
      <c r="C34" s="21" t="s">
        <v>581</v>
      </c>
      <c r="D34" s="98" t="s">
        <v>536</v>
      </c>
      <c r="E34" s="101">
        <v>3</v>
      </c>
      <c r="F34" s="130">
        <v>4428.01</v>
      </c>
      <c r="G34" s="130">
        <f t="shared" si="0"/>
        <v>13284.03</v>
      </c>
    </row>
    <row r="35" spans="1:7" ht="15" customHeight="1">
      <c r="A35" s="10">
        <v>22</v>
      </c>
      <c r="B35" s="98"/>
      <c r="C35" s="21" t="s">
        <v>582</v>
      </c>
      <c r="D35" s="98" t="s">
        <v>536</v>
      </c>
      <c r="E35" s="101">
        <v>6</v>
      </c>
      <c r="F35" s="130">
        <v>6642.01</v>
      </c>
      <c r="G35" s="130">
        <f t="shared" si="0"/>
        <v>39852.06</v>
      </c>
    </row>
    <row r="36" spans="1:7" ht="15" customHeight="1">
      <c r="A36" s="10">
        <v>23</v>
      </c>
      <c r="B36" s="98"/>
      <c r="C36" s="21" t="s">
        <v>583</v>
      </c>
      <c r="D36" s="98" t="s">
        <v>536</v>
      </c>
      <c r="E36" s="101">
        <v>6</v>
      </c>
      <c r="F36" s="130">
        <v>7527.61</v>
      </c>
      <c r="G36" s="130">
        <f t="shared" si="0"/>
        <v>45165.66</v>
      </c>
    </row>
    <row r="37" spans="1:7" ht="15" customHeight="1">
      <c r="A37" s="10">
        <v>24</v>
      </c>
      <c r="B37" s="98"/>
      <c r="C37" s="21" t="s">
        <v>584</v>
      </c>
      <c r="D37" s="98" t="s">
        <v>536</v>
      </c>
      <c r="E37" s="101">
        <v>8</v>
      </c>
      <c r="F37" s="130">
        <v>1771.2</v>
      </c>
      <c r="G37" s="130">
        <f t="shared" si="0"/>
        <v>14169.6</v>
      </c>
    </row>
    <row r="38" spans="1:7" s="181" customFormat="1" ht="15" customHeight="1">
      <c r="A38" s="10">
        <v>25</v>
      </c>
      <c r="B38" s="177"/>
      <c r="C38" s="21" t="s">
        <v>585</v>
      </c>
      <c r="D38" s="98" t="s">
        <v>536</v>
      </c>
      <c r="E38" s="101">
        <v>15</v>
      </c>
      <c r="F38" s="130">
        <v>1948.32</v>
      </c>
      <c r="G38" s="130">
        <f t="shared" si="0"/>
        <v>29224.799999999999</v>
      </c>
    </row>
    <row r="39" spans="1:7" ht="15" customHeight="1">
      <c r="A39" s="10">
        <v>26</v>
      </c>
      <c r="B39" s="98"/>
      <c r="C39" s="21" t="s">
        <v>586</v>
      </c>
      <c r="D39" s="98" t="s">
        <v>536</v>
      </c>
      <c r="E39" s="101">
        <v>6</v>
      </c>
      <c r="F39" s="130">
        <v>2656.8</v>
      </c>
      <c r="G39" s="130">
        <f t="shared" si="0"/>
        <v>15940.8</v>
      </c>
    </row>
    <row r="40" spans="1:7" ht="15" customHeight="1">
      <c r="A40" s="10">
        <v>27</v>
      </c>
      <c r="B40" s="98"/>
      <c r="C40" s="21" t="s">
        <v>587</v>
      </c>
      <c r="D40" s="98" t="s">
        <v>536</v>
      </c>
      <c r="E40" s="101">
        <v>6</v>
      </c>
      <c r="F40" s="130">
        <v>3542.41</v>
      </c>
      <c r="G40" s="130">
        <f t="shared" si="0"/>
        <v>21254.46</v>
      </c>
    </row>
    <row r="41" spans="1:7" ht="15" customHeight="1">
      <c r="A41" s="506"/>
      <c r="B41" s="507"/>
      <c r="C41" s="508"/>
      <c r="D41" s="507"/>
      <c r="E41" s="509"/>
      <c r="F41" s="510"/>
      <c r="G41" s="510"/>
    </row>
    <row r="42" spans="1:7" ht="15" customHeight="1">
      <c r="A42" s="506"/>
      <c r="B42" s="507"/>
      <c r="C42" s="508"/>
      <c r="D42" s="507"/>
      <c r="E42" s="509"/>
      <c r="F42" s="510"/>
      <c r="G42" s="510"/>
    </row>
    <row r="43" spans="1:7" ht="15" customHeight="1">
      <c r="A43" s="506"/>
      <c r="B43" s="507"/>
      <c r="C43" s="508"/>
      <c r="D43" s="507"/>
      <c r="E43" s="509"/>
      <c r="F43" s="510"/>
      <c r="G43" s="510"/>
    </row>
    <row r="44" spans="1:7" ht="15" customHeight="1">
      <c r="A44" s="506"/>
      <c r="B44" s="507"/>
      <c r="C44" s="508"/>
      <c r="D44" s="507"/>
      <c r="E44" s="509"/>
      <c r="F44" s="510"/>
      <c r="G44" s="510"/>
    </row>
    <row r="45" spans="1:7" ht="15" customHeight="1">
      <c r="A45" s="506"/>
      <c r="B45" s="507"/>
      <c r="C45" s="508"/>
      <c r="D45" s="507"/>
      <c r="E45" s="509"/>
      <c r="F45" s="510"/>
      <c r="G45" s="510"/>
    </row>
    <row r="46" spans="1:7" ht="15" customHeight="1">
      <c r="A46" s="506"/>
      <c r="B46" s="507"/>
      <c r="C46" s="508"/>
      <c r="D46" s="507"/>
      <c r="E46" s="509"/>
      <c r="F46" s="510"/>
      <c r="G46" s="510"/>
    </row>
    <row r="47" spans="1:7" ht="15" customHeight="1">
      <c r="A47" s="506"/>
      <c r="B47" s="507"/>
      <c r="C47" s="508"/>
      <c r="D47" s="507"/>
      <c r="E47" s="509"/>
      <c r="F47" s="510"/>
      <c r="G47" s="510"/>
    </row>
    <row r="48" spans="1:7" ht="15" customHeight="1">
      <c r="A48" s="506"/>
      <c r="B48" s="507"/>
      <c r="C48" s="508"/>
      <c r="D48" s="507"/>
      <c r="E48" s="509"/>
      <c r="F48" s="510"/>
      <c r="G48" s="510"/>
    </row>
    <row r="49" spans="1:7" ht="15" customHeight="1">
      <c r="A49" s="10"/>
      <c r="B49" s="98"/>
      <c r="C49" s="21"/>
      <c r="D49" s="98"/>
      <c r="E49" s="101"/>
      <c r="F49" s="130"/>
      <c r="G49" s="130"/>
    </row>
    <row r="50" spans="1:7" ht="13.5">
      <c r="A50" s="706" t="s">
        <v>557</v>
      </c>
      <c r="B50" s="706"/>
      <c r="C50" s="706"/>
      <c r="D50" s="706"/>
      <c r="E50" s="706"/>
      <c r="F50" s="706"/>
      <c r="G50" s="166">
        <f>SUM(G14:G40)</f>
        <v>509840.85</v>
      </c>
    </row>
    <row r="62" spans="1:7" s="1" customFormat="1" ht="19.5" customHeight="1">
      <c r="A62" s="121"/>
      <c r="B62" s="122"/>
      <c r="C62" s="122"/>
      <c r="D62" s="123"/>
      <c r="E62" s="123"/>
      <c r="F62" s="123"/>
      <c r="G62" s="121"/>
    </row>
    <row r="63" spans="1:7" s="1" customFormat="1" ht="13.5">
      <c r="A63" s="124"/>
      <c r="B63" s="117"/>
      <c r="C63" s="118"/>
      <c r="D63" s="119"/>
      <c r="E63" s="119"/>
      <c r="F63" s="119"/>
      <c r="G63" s="120"/>
    </row>
    <row r="64" spans="1:7" s="1" customFormat="1" ht="13.5">
      <c r="A64" s="116"/>
      <c r="B64" s="117"/>
      <c r="C64" s="118"/>
      <c r="D64" s="119"/>
      <c r="E64" s="119"/>
      <c r="F64" s="119"/>
      <c r="G64" s="120"/>
    </row>
    <row r="65" spans="1:7" ht="15" customHeight="1">
      <c r="A65" s="706" t="s">
        <v>558</v>
      </c>
      <c r="B65" s="706"/>
      <c r="C65" s="706"/>
      <c r="D65" s="706"/>
      <c r="E65" s="706"/>
      <c r="F65" s="706"/>
      <c r="G65" s="94">
        <f>G50</f>
        <v>509840.85</v>
      </c>
    </row>
    <row r="66" spans="1:7" s="181" customFormat="1" ht="15" customHeight="1">
      <c r="A66" s="10">
        <v>28</v>
      </c>
      <c r="B66" s="98"/>
      <c r="C66" s="21" t="s">
        <v>588</v>
      </c>
      <c r="D66" s="98" t="s">
        <v>536</v>
      </c>
      <c r="E66" s="101">
        <v>6</v>
      </c>
      <c r="F66" s="130">
        <v>1771.2</v>
      </c>
      <c r="G66" s="130">
        <f>E66*F66</f>
        <v>10627.2</v>
      </c>
    </row>
    <row r="67" spans="1:7" ht="15" customHeight="1">
      <c r="A67" s="10">
        <v>29</v>
      </c>
      <c r="B67" s="98"/>
      <c r="C67" s="21" t="s">
        <v>589</v>
      </c>
      <c r="D67" s="98" t="s">
        <v>536</v>
      </c>
      <c r="E67" s="101">
        <v>3</v>
      </c>
      <c r="F67" s="130">
        <v>2214</v>
      </c>
      <c r="G67" s="130">
        <f>+E67*F67</f>
        <v>6642</v>
      </c>
    </row>
    <row r="68" spans="1:7" ht="15" customHeight="1">
      <c r="A68" s="10">
        <v>30</v>
      </c>
      <c r="B68" s="98"/>
      <c r="C68" s="21" t="s">
        <v>590</v>
      </c>
      <c r="D68" s="98" t="s">
        <v>536</v>
      </c>
      <c r="E68" s="101">
        <v>3</v>
      </c>
      <c r="F68" s="130">
        <v>3365.29</v>
      </c>
      <c r="G68" s="130">
        <f t="shared" ref="G68:G92" si="1">+E68*F68</f>
        <v>10095.870000000001</v>
      </c>
    </row>
    <row r="69" spans="1:7" ht="15" customHeight="1">
      <c r="A69" s="10">
        <v>31</v>
      </c>
      <c r="B69" s="98"/>
      <c r="C69" s="21" t="s">
        <v>591</v>
      </c>
      <c r="D69" s="98" t="s">
        <v>536</v>
      </c>
      <c r="E69" s="101">
        <v>6</v>
      </c>
      <c r="F69" s="130">
        <v>3542.41</v>
      </c>
      <c r="G69" s="130">
        <f t="shared" si="1"/>
        <v>21254.46</v>
      </c>
    </row>
    <row r="70" spans="1:7" ht="15" customHeight="1">
      <c r="A70" s="10">
        <v>32</v>
      </c>
      <c r="B70" s="98"/>
      <c r="C70" s="21" t="s">
        <v>592</v>
      </c>
      <c r="D70" s="98" t="s">
        <v>536</v>
      </c>
      <c r="E70" s="101">
        <v>6</v>
      </c>
      <c r="F70" s="130">
        <v>3985.21</v>
      </c>
      <c r="G70" s="130">
        <f t="shared" si="1"/>
        <v>23911.26</v>
      </c>
    </row>
    <row r="71" spans="1:7" ht="15" customHeight="1">
      <c r="A71" s="10">
        <v>33</v>
      </c>
      <c r="B71" s="98"/>
      <c r="C71" s="21" t="s">
        <v>593</v>
      </c>
      <c r="D71" s="98" t="s">
        <v>536</v>
      </c>
      <c r="E71" s="101">
        <v>6</v>
      </c>
      <c r="F71" s="130">
        <v>3985.21</v>
      </c>
      <c r="G71" s="130">
        <f t="shared" si="1"/>
        <v>23911.26</v>
      </c>
    </row>
    <row r="72" spans="1:7" ht="15" customHeight="1">
      <c r="A72" s="10">
        <v>34</v>
      </c>
      <c r="B72" s="98"/>
      <c r="C72" s="21" t="s">
        <v>594</v>
      </c>
      <c r="D72" s="98" t="s">
        <v>536</v>
      </c>
      <c r="E72" s="101">
        <v>6</v>
      </c>
      <c r="F72" s="130">
        <v>4428.01</v>
      </c>
      <c r="G72" s="130">
        <f t="shared" si="1"/>
        <v>26568.06</v>
      </c>
    </row>
    <row r="73" spans="1:7" ht="15" customHeight="1">
      <c r="A73" s="10">
        <v>35</v>
      </c>
      <c r="B73" s="98"/>
      <c r="C73" s="21" t="s">
        <v>595</v>
      </c>
      <c r="D73" s="98" t="s">
        <v>536</v>
      </c>
      <c r="E73" s="101">
        <v>3</v>
      </c>
      <c r="F73" s="130">
        <v>4428.01</v>
      </c>
      <c r="G73" s="130">
        <f t="shared" si="1"/>
        <v>13284.03</v>
      </c>
    </row>
    <row r="74" spans="1:7" ht="15" customHeight="1">
      <c r="A74" s="10">
        <v>36</v>
      </c>
      <c r="B74" s="98"/>
      <c r="C74" s="21" t="s">
        <v>596</v>
      </c>
      <c r="D74" s="98" t="s">
        <v>536</v>
      </c>
      <c r="E74" s="101">
        <v>6</v>
      </c>
      <c r="F74" s="130">
        <v>4428.01</v>
      </c>
      <c r="G74" s="130">
        <f t="shared" si="1"/>
        <v>26568.06</v>
      </c>
    </row>
    <row r="75" spans="1:7" ht="15" customHeight="1">
      <c r="A75" s="10">
        <v>37</v>
      </c>
      <c r="B75" s="98"/>
      <c r="C75" s="21" t="s">
        <v>597</v>
      </c>
      <c r="D75" s="98" t="s">
        <v>536</v>
      </c>
      <c r="E75" s="101">
        <v>6</v>
      </c>
      <c r="F75" s="130">
        <v>885.6</v>
      </c>
      <c r="G75" s="130">
        <f t="shared" si="1"/>
        <v>5313.6</v>
      </c>
    </row>
    <row r="76" spans="1:7" s="181" customFormat="1" ht="15" customHeight="1">
      <c r="A76" s="10">
        <v>38</v>
      </c>
      <c r="B76" s="98"/>
      <c r="C76" s="21" t="s">
        <v>598</v>
      </c>
      <c r="D76" s="98" t="s">
        <v>536</v>
      </c>
      <c r="E76" s="101">
        <v>6</v>
      </c>
      <c r="F76" s="130">
        <v>708.48</v>
      </c>
      <c r="G76" s="130">
        <f t="shared" si="1"/>
        <v>4250.88</v>
      </c>
    </row>
    <row r="77" spans="1:7" ht="15" customHeight="1">
      <c r="A77" s="10">
        <v>39</v>
      </c>
      <c r="B77" s="10"/>
      <c r="C77" s="21" t="s">
        <v>599</v>
      </c>
      <c r="D77" s="10" t="s">
        <v>536</v>
      </c>
      <c r="E77" s="13">
        <v>6</v>
      </c>
      <c r="F77" s="130">
        <v>708.48</v>
      </c>
      <c r="G77" s="130">
        <f t="shared" si="1"/>
        <v>4250.88</v>
      </c>
    </row>
    <row r="78" spans="1:7" ht="15" customHeight="1">
      <c r="A78" s="10">
        <v>40</v>
      </c>
      <c r="B78" s="98"/>
      <c r="C78" s="21" t="s">
        <v>600</v>
      </c>
      <c r="D78" s="98" t="s">
        <v>536</v>
      </c>
      <c r="E78" s="101">
        <v>3</v>
      </c>
      <c r="F78" s="130">
        <v>13284.02</v>
      </c>
      <c r="G78" s="130">
        <f t="shared" si="1"/>
        <v>39852.06</v>
      </c>
    </row>
    <row r="79" spans="1:7" s="181" customFormat="1" ht="15" customHeight="1">
      <c r="A79" s="10">
        <v>41</v>
      </c>
      <c r="B79" s="177"/>
      <c r="C79" s="21" t="s">
        <v>601</v>
      </c>
      <c r="D79" s="98" t="s">
        <v>536</v>
      </c>
      <c r="E79" s="101">
        <v>3</v>
      </c>
      <c r="F79" s="130">
        <v>57564.11</v>
      </c>
      <c r="G79" s="130">
        <f t="shared" si="1"/>
        <v>172692.33</v>
      </c>
    </row>
    <row r="80" spans="1:7" s="181" customFormat="1" ht="15" customHeight="1">
      <c r="A80" s="10">
        <v>42</v>
      </c>
      <c r="B80" s="177"/>
      <c r="C80" s="21" t="s">
        <v>602</v>
      </c>
      <c r="D80" s="98" t="s">
        <v>536</v>
      </c>
      <c r="E80" s="101">
        <v>3</v>
      </c>
      <c r="F80" s="130">
        <v>53136.1</v>
      </c>
      <c r="G80" s="130">
        <f t="shared" si="1"/>
        <v>159408.29999999999</v>
      </c>
    </row>
    <row r="81" spans="1:7" s="181" customFormat="1" ht="15" customHeight="1">
      <c r="A81" s="10">
        <v>43</v>
      </c>
      <c r="B81" s="177"/>
      <c r="C81" s="21" t="s">
        <v>603</v>
      </c>
      <c r="D81" s="98" t="s">
        <v>536</v>
      </c>
      <c r="E81" s="101">
        <v>3</v>
      </c>
      <c r="F81" s="130">
        <v>17712.03</v>
      </c>
      <c r="G81" s="130">
        <f t="shared" si="1"/>
        <v>53136.09</v>
      </c>
    </row>
    <row r="82" spans="1:7" ht="15" customHeight="1">
      <c r="A82" s="10">
        <v>44</v>
      </c>
      <c r="B82" s="98"/>
      <c r="C82" s="21" t="s">
        <v>604</v>
      </c>
      <c r="D82" s="98" t="s">
        <v>536</v>
      </c>
      <c r="E82" s="101">
        <v>3</v>
      </c>
      <c r="F82" s="130">
        <v>22140.04</v>
      </c>
      <c r="G82" s="130">
        <f t="shared" si="1"/>
        <v>66420.12</v>
      </c>
    </row>
    <row r="83" spans="1:7" ht="15" customHeight="1">
      <c r="A83" s="10">
        <v>45</v>
      </c>
      <c r="B83" s="98"/>
      <c r="C83" s="21" t="s">
        <v>605</v>
      </c>
      <c r="D83" s="98" t="s">
        <v>536</v>
      </c>
      <c r="E83" s="101">
        <v>3</v>
      </c>
      <c r="F83" s="130">
        <v>8856.02</v>
      </c>
      <c r="G83" s="130">
        <f t="shared" si="1"/>
        <v>26568.06</v>
      </c>
    </row>
    <row r="84" spans="1:7" ht="15" customHeight="1">
      <c r="A84" s="10">
        <v>46</v>
      </c>
      <c r="B84" s="98"/>
      <c r="C84" s="21" t="s">
        <v>606</v>
      </c>
      <c r="D84" s="98" t="s">
        <v>536</v>
      </c>
      <c r="E84" s="101">
        <v>3</v>
      </c>
      <c r="F84" s="130">
        <v>22140.04</v>
      </c>
      <c r="G84" s="130">
        <f t="shared" si="1"/>
        <v>66420.12</v>
      </c>
    </row>
    <row r="85" spans="1:7" ht="15" customHeight="1">
      <c r="A85" s="10">
        <v>47</v>
      </c>
      <c r="B85" s="98"/>
      <c r="C85" s="21" t="s">
        <v>607</v>
      </c>
      <c r="D85" s="98" t="s">
        <v>536</v>
      </c>
      <c r="E85" s="101">
        <v>3</v>
      </c>
      <c r="F85" s="130">
        <v>4428.01</v>
      </c>
      <c r="G85" s="130">
        <f t="shared" si="1"/>
        <v>13284.03</v>
      </c>
    </row>
    <row r="86" spans="1:7" ht="15" customHeight="1">
      <c r="A86" s="10">
        <v>48</v>
      </c>
      <c r="B86" s="98"/>
      <c r="C86" s="21" t="s">
        <v>608</v>
      </c>
      <c r="D86" s="98" t="s">
        <v>536</v>
      </c>
      <c r="E86" s="101">
        <v>3</v>
      </c>
      <c r="F86" s="130">
        <v>3542.41</v>
      </c>
      <c r="G86" s="130">
        <f t="shared" si="1"/>
        <v>10627.23</v>
      </c>
    </row>
    <row r="87" spans="1:7" ht="15" customHeight="1">
      <c r="A87" s="10">
        <v>49</v>
      </c>
      <c r="B87" s="98"/>
      <c r="C87" s="21" t="s">
        <v>609</v>
      </c>
      <c r="D87" s="98" t="s">
        <v>536</v>
      </c>
      <c r="E87" s="101">
        <v>3</v>
      </c>
      <c r="F87" s="130">
        <v>1771.2</v>
      </c>
      <c r="G87" s="130">
        <f t="shared" si="1"/>
        <v>5313.6</v>
      </c>
    </row>
    <row r="88" spans="1:7" ht="15" customHeight="1">
      <c r="A88" s="10">
        <v>50</v>
      </c>
      <c r="B88" s="98"/>
      <c r="C88" s="21" t="s">
        <v>610</v>
      </c>
      <c r="D88" s="98" t="s">
        <v>536</v>
      </c>
      <c r="E88" s="101">
        <v>9</v>
      </c>
      <c r="F88" s="130">
        <v>2214</v>
      </c>
      <c r="G88" s="130">
        <f t="shared" si="1"/>
        <v>19926</v>
      </c>
    </row>
    <row r="89" spans="1:7" ht="15" customHeight="1">
      <c r="A89" s="10">
        <v>51</v>
      </c>
      <c r="B89" s="98"/>
      <c r="C89" s="21" t="s">
        <v>611</v>
      </c>
      <c r="D89" s="98" t="s">
        <v>536</v>
      </c>
      <c r="E89" s="101">
        <v>6</v>
      </c>
      <c r="F89" s="130">
        <v>3542.41</v>
      </c>
      <c r="G89" s="130">
        <f t="shared" si="1"/>
        <v>21254.46</v>
      </c>
    </row>
    <row r="90" spans="1:7" ht="15" customHeight="1">
      <c r="A90" s="10">
        <v>52</v>
      </c>
      <c r="B90" s="98"/>
      <c r="C90" s="21" t="s">
        <v>612</v>
      </c>
      <c r="D90" s="98" t="s">
        <v>536</v>
      </c>
      <c r="E90" s="101">
        <v>3</v>
      </c>
      <c r="F90" s="130">
        <v>6642.01</v>
      </c>
      <c r="G90" s="130">
        <f t="shared" si="1"/>
        <v>19926.03</v>
      </c>
    </row>
    <row r="91" spans="1:7" ht="15" customHeight="1">
      <c r="A91" s="10">
        <v>53</v>
      </c>
      <c r="B91" s="98"/>
      <c r="C91" s="21" t="s">
        <v>613</v>
      </c>
      <c r="D91" s="98" t="s">
        <v>536</v>
      </c>
      <c r="E91" s="101">
        <v>3</v>
      </c>
      <c r="F91" s="130">
        <v>1771.2</v>
      </c>
      <c r="G91" s="130">
        <f t="shared" si="1"/>
        <v>5313.6</v>
      </c>
    </row>
    <row r="92" spans="1:7" ht="15" customHeight="1">
      <c r="A92" s="10">
        <v>54</v>
      </c>
      <c r="B92" s="98"/>
      <c r="C92" s="21" t="s">
        <v>614</v>
      </c>
      <c r="D92" s="98" t="s">
        <v>536</v>
      </c>
      <c r="E92" s="101">
        <v>6</v>
      </c>
      <c r="F92" s="130">
        <v>354.24</v>
      </c>
      <c r="G92" s="130">
        <f t="shared" si="1"/>
        <v>2125.44</v>
      </c>
    </row>
    <row r="93" spans="1:7" ht="15" customHeight="1">
      <c r="A93" s="201"/>
      <c r="B93" s="514"/>
      <c r="C93" s="202"/>
      <c r="D93" s="514"/>
      <c r="E93" s="515"/>
      <c r="F93" s="203"/>
      <c r="G93" s="149"/>
    </row>
    <row r="94" spans="1:7" ht="15" customHeight="1">
      <c r="A94" s="201"/>
      <c r="B94" s="514"/>
      <c r="C94" s="202"/>
      <c r="D94" s="514"/>
      <c r="E94" s="515"/>
      <c r="F94" s="203"/>
      <c r="G94" s="149"/>
    </row>
    <row r="95" spans="1:7" ht="15" customHeight="1">
      <c r="A95" s="201"/>
      <c r="B95" s="514"/>
      <c r="C95" s="202"/>
      <c r="D95" s="514"/>
      <c r="E95" s="515"/>
      <c r="F95" s="203"/>
      <c r="G95" s="149"/>
    </row>
    <row r="96" spans="1:7" ht="15" customHeight="1">
      <c r="A96" s="201"/>
      <c r="B96" s="514"/>
      <c r="C96" s="202"/>
      <c r="D96" s="514"/>
      <c r="E96" s="515"/>
      <c r="F96" s="203"/>
      <c r="G96" s="149"/>
    </row>
    <row r="97" spans="1:7" ht="15" customHeight="1">
      <c r="A97" s="201"/>
      <c r="B97" s="514"/>
      <c r="C97" s="202"/>
      <c r="D97" s="514"/>
      <c r="E97" s="515"/>
      <c r="F97" s="203"/>
      <c r="G97" s="149"/>
    </row>
    <row r="98" spans="1:7" ht="15" customHeight="1">
      <c r="A98" s="201"/>
      <c r="B98" s="514"/>
      <c r="C98" s="202"/>
      <c r="D98" s="514"/>
      <c r="E98" s="515"/>
      <c r="F98" s="203"/>
      <c r="G98" s="149"/>
    </row>
    <row r="99" spans="1:7" ht="15" customHeight="1">
      <c r="A99" s="201"/>
      <c r="B99" s="514"/>
      <c r="C99" s="202"/>
      <c r="D99" s="514"/>
      <c r="E99" s="515"/>
      <c r="F99" s="203"/>
      <c r="G99" s="149"/>
    </row>
    <row r="100" spans="1:7" ht="15" customHeight="1">
      <c r="A100" s="201"/>
      <c r="B100" s="514"/>
      <c r="C100" s="202"/>
      <c r="D100" s="514"/>
      <c r="E100" s="515"/>
      <c r="F100" s="203"/>
      <c r="G100" s="149"/>
    </row>
    <row r="101" spans="1:7" ht="15" customHeight="1">
      <c r="A101" s="201"/>
      <c r="B101" s="514"/>
      <c r="C101" s="202"/>
      <c r="D101" s="514"/>
      <c r="E101" s="515"/>
      <c r="F101" s="203"/>
      <c r="G101" s="149"/>
    </row>
    <row r="102" spans="1:7" ht="15" customHeight="1">
      <c r="A102" s="201"/>
      <c r="B102" s="514"/>
      <c r="C102" s="202"/>
      <c r="D102" s="514"/>
      <c r="E102" s="515"/>
      <c r="F102" s="203"/>
      <c r="G102" s="149"/>
    </row>
    <row r="103" spans="1:7" ht="15" customHeight="1">
      <c r="A103" s="14"/>
      <c r="B103" s="103"/>
      <c r="C103" s="23"/>
      <c r="D103" s="103"/>
      <c r="E103" s="106"/>
      <c r="F103" s="138"/>
      <c r="G103" s="149"/>
    </row>
    <row r="104" spans="1:7" ht="15" customHeight="1">
      <c r="A104" s="708" t="s">
        <v>658</v>
      </c>
      <c r="B104" s="709"/>
      <c r="C104" s="709"/>
      <c r="D104" s="709"/>
      <c r="E104" s="709"/>
      <c r="F104" s="710"/>
      <c r="G104" s="166">
        <f>SUM(G65:G92)</f>
        <v>1368785.88</v>
      </c>
    </row>
    <row r="105" spans="1:7" ht="15" customHeight="1">
      <c r="A105" s="116"/>
      <c r="B105" s="116"/>
      <c r="C105" s="116"/>
      <c r="D105" s="116"/>
      <c r="E105" s="116"/>
      <c r="F105" s="116"/>
      <c r="G105" s="511"/>
    </row>
    <row r="106" spans="1:7" ht="15" customHeight="1">
      <c r="A106" s="116"/>
      <c r="B106" s="116"/>
      <c r="C106" s="116"/>
      <c r="D106" s="116"/>
      <c r="E106" s="116"/>
      <c r="F106" s="116"/>
      <c r="G106" s="511"/>
    </row>
    <row r="107" spans="1:7" ht="15" customHeight="1">
      <c r="A107" s="116"/>
      <c r="B107" s="116"/>
      <c r="C107" s="116"/>
      <c r="D107" s="116"/>
      <c r="E107" s="116"/>
      <c r="F107" s="116"/>
      <c r="G107" s="511"/>
    </row>
    <row r="108" spans="1:7" ht="15" customHeight="1">
      <c r="A108" s="116"/>
      <c r="B108" s="116"/>
      <c r="C108" s="116"/>
      <c r="D108" s="116"/>
      <c r="E108" s="116"/>
      <c r="F108" s="116"/>
      <c r="G108" s="511"/>
    </row>
    <row r="109" spans="1:7" ht="15" customHeight="1">
      <c r="A109" s="116"/>
      <c r="B109" s="116"/>
      <c r="C109" s="116"/>
      <c r="D109" s="116"/>
      <c r="E109" s="116"/>
      <c r="F109" s="116"/>
      <c r="G109" s="511"/>
    </row>
    <row r="110" spans="1:7" ht="15" customHeight="1">
      <c r="A110" s="116"/>
      <c r="B110" s="116"/>
      <c r="C110" s="116"/>
      <c r="D110" s="116"/>
      <c r="E110" s="116"/>
      <c r="F110" s="116"/>
      <c r="G110" s="511"/>
    </row>
    <row r="112" spans="1:7" ht="13.5">
      <c r="A112" s="116"/>
      <c r="B112" s="117"/>
      <c r="C112" s="118"/>
      <c r="D112" s="119"/>
      <c r="E112" s="119"/>
      <c r="F112" s="119"/>
      <c r="G112" s="120"/>
    </row>
    <row r="113" spans="1:7" s="1" customFormat="1" ht="23.25" customHeight="1">
      <c r="A113" s="121"/>
      <c r="B113" s="122"/>
      <c r="C113" s="122"/>
      <c r="D113" s="123"/>
      <c r="E113" s="123"/>
      <c r="F113" s="123"/>
      <c r="G113" s="121"/>
    </row>
    <row r="114" spans="1:7" ht="13.5">
      <c r="A114" s="124"/>
      <c r="B114" s="117"/>
      <c r="C114" s="118"/>
      <c r="D114" s="119"/>
      <c r="E114" s="119"/>
      <c r="F114" s="119"/>
      <c r="G114" s="120"/>
    </row>
    <row r="115" spans="1:7" ht="13.5">
      <c r="A115" s="116"/>
      <c r="B115" s="117"/>
      <c r="C115" s="118"/>
      <c r="D115" s="119"/>
      <c r="E115" s="119"/>
      <c r="F115" s="119"/>
      <c r="G115" s="120"/>
    </row>
  </sheetData>
  <mergeCells count="11">
    <mergeCell ref="G11:G12"/>
    <mergeCell ref="A50:F50"/>
    <mergeCell ref="A65:F65"/>
    <mergeCell ref="A104:F104"/>
    <mergeCell ref="A10:C10"/>
    <mergeCell ref="D10:G10"/>
    <mergeCell ref="A11:B11"/>
    <mergeCell ref="C11:C12"/>
    <mergeCell ref="D11:D12"/>
    <mergeCell ref="E11:E12"/>
    <mergeCell ref="F11:F12"/>
  </mergeCells>
  <pageMargins left="0.7" right="0.7" top="0.75" bottom="0.75" header="0.3" footer="0.3"/>
  <pageSetup paperSize="9" scale="8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16"/>
  <sheetViews>
    <sheetView view="pageBreakPreview" topLeftCell="A7" zoomScale="80" zoomScaleSheetLayoutView="80" workbookViewId="0">
      <selection activeCell="C31" sqref="C31"/>
    </sheetView>
  </sheetViews>
  <sheetFormatPr defaultRowHeight="12.75"/>
  <cols>
    <col min="1" max="1" width="5.66015625" style="82" customWidth="1"/>
    <col min="2" max="2" width="9.84375" style="83" customWidth="1"/>
    <col min="3" max="3" width="46.1171875" style="83" customWidth="1"/>
    <col min="4" max="4" width="6.7421875" style="82" customWidth="1"/>
    <col min="5" max="5" width="10.24609375" style="84" bestFit="1" customWidth="1"/>
    <col min="6" max="6" width="12.67578125" style="85" customWidth="1"/>
    <col min="7" max="7" width="16.44921875" style="85" bestFit="1" customWidth="1"/>
  </cols>
  <sheetData>
    <row r="1" spans="1:7" s="29" customFormat="1" ht="16.899999999999999" customHeight="1">
      <c r="A1" s="47" t="s">
        <v>51</v>
      </c>
      <c r="B1" s="47"/>
      <c r="C1" s="48" t="str">
        <f>'Bill 1'!C1</f>
        <v>:MISCELLANEOUS FOREIGN AIDED PROJECT</v>
      </c>
      <c r="D1" s="47"/>
      <c r="E1" s="47"/>
      <c r="F1" s="47"/>
      <c r="G1" s="47"/>
    </row>
    <row r="2" spans="1:7" s="29" customFormat="1" ht="16.899999999999999" customHeight="1">
      <c r="A2" s="47" t="s">
        <v>52</v>
      </c>
      <c r="B2" s="47"/>
      <c r="C2" s="48" t="str">
        <f>'Bill 1'!C2</f>
        <v>REHABILITATION OF THE A-017 ROAD CORRIDOR PROJECT (SURIYAKANDA - RAKWANA)</v>
      </c>
      <c r="D2" s="47"/>
      <c r="E2" s="47"/>
      <c r="F2" s="47"/>
      <c r="G2" s="47"/>
    </row>
    <row r="3" spans="1:7" s="29" customFormat="1" ht="16.899999999999999" customHeight="1">
      <c r="A3" s="47" t="s">
        <v>52</v>
      </c>
      <c r="B3" s="47"/>
      <c r="C3" s="48" t="str">
        <f>'Bill 1'!C3</f>
        <v>FUNDED BY OPEC FUND FOR INTERNATIONAL DEVELOPMENT (OFID)</v>
      </c>
      <c r="D3" s="47"/>
      <c r="E3" s="47"/>
      <c r="F3" s="47"/>
      <c r="G3" s="47"/>
    </row>
    <row r="4" spans="1:7" s="29" customFormat="1" ht="16.899999999999999" customHeight="1">
      <c r="A4" s="47"/>
      <c r="B4" s="47"/>
      <c r="C4" s="48" t="str">
        <f>'Bill 1'!C4</f>
        <v>SECTION FROM CH. 112+600 KM TO CH. 118+600 KM</v>
      </c>
      <c r="D4" s="47"/>
      <c r="E4" s="47"/>
      <c r="F4" s="47"/>
      <c r="G4" s="47"/>
    </row>
    <row r="5" spans="1:7" s="29" customFormat="1" ht="5.25" customHeight="1">
      <c r="A5" s="47"/>
      <c r="B5" s="47"/>
      <c r="C5" s="48"/>
      <c r="D5" s="47"/>
      <c r="E5" s="47"/>
      <c r="F5" s="47"/>
      <c r="G5" s="47"/>
    </row>
    <row r="6" spans="1:7" s="29" customFormat="1" ht="16.899999999999999" customHeight="1">
      <c r="A6" s="47" t="s">
        <v>53</v>
      </c>
      <c r="B6" s="47"/>
      <c r="C6" s="48" t="str">
        <f>'Bill 1'!C6</f>
        <v>:RDA/MFAP/ICB/OFID-04(A)</v>
      </c>
      <c r="D6" s="47"/>
      <c r="E6" s="47"/>
      <c r="F6" s="47"/>
      <c r="G6" s="49"/>
    </row>
    <row r="7" spans="1:7" s="29" customFormat="1" ht="15.95" customHeight="1">
      <c r="A7" s="48"/>
      <c r="B7" s="47"/>
      <c r="C7" s="47"/>
      <c r="D7" s="51"/>
      <c r="E7" s="51"/>
      <c r="F7" s="51"/>
      <c r="G7" s="51"/>
    </row>
    <row r="8" spans="1:7" s="29" customFormat="1" ht="8.25" customHeight="1">
      <c r="A8" s="2"/>
      <c r="B8" s="3"/>
      <c r="C8" s="3"/>
      <c r="D8" s="4"/>
      <c r="E8" s="4"/>
      <c r="F8" s="4"/>
      <c r="G8" s="4"/>
    </row>
    <row r="9" spans="1:7" s="29" customFormat="1" ht="18" customHeight="1">
      <c r="A9" s="125" t="s">
        <v>554</v>
      </c>
      <c r="B9" s="88"/>
      <c r="C9" s="88"/>
      <c r="D9" s="35"/>
      <c r="E9" s="35"/>
      <c r="F9" s="35"/>
      <c r="G9" s="35"/>
    </row>
    <row r="10" spans="1:7" s="29" customFormat="1" ht="16.5" customHeight="1">
      <c r="A10" s="695"/>
      <c r="B10" s="695"/>
      <c r="C10" s="695"/>
      <c r="D10" s="696" t="s">
        <v>56</v>
      </c>
      <c r="E10" s="697"/>
      <c r="F10" s="697"/>
      <c r="G10" s="698"/>
    </row>
    <row r="11" spans="1:7" s="29" customFormat="1" ht="16.5" customHeight="1">
      <c r="A11" s="699" t="s">
        <v>138</v>
      </c>
      <c r="B11" s="699"/>
      <c r="C11" s="699" t="s">
        <v>74</v>
      </c>
      <c r="D11" s="699" t="s">
        <v>139</v>
      </c>
      <c r="E11" s="699" t="s">
        <v>140</v>
      </c>
      <c r="F11" s="699" t="s">
        <v>141</v>
      </c>
      <c r="G11" s="699" t="s">
        <v>57</v>
      </c>
    </row>
    <row r="12" spans="1:7" s="29" customFormat="1" ht="16.5" customHeight="1">
      <c r="A12" s="87" t="s">
        <v>0</v>
      </c>
      <c r="B12" s="87" t="s">
        <v>1</v>
      </c>
      <c r="C12" s="699"/>
      <c r="D12" s="699"/>
      <c r="E12" s="699"/>
      <c r="F12" s="699"/>
      <c r="G12" s="699"/>
    </row>
    <row r="13" spans="1:7" ht="13.5">
      <c r="A13" s="89">
        <v>8.3000000000000007</v>
      </c>
      <c r="B13" s="91"/>
      <c r="C13" s="89" t="s">
        <v>615</v>
      </c>
      <c r="D13" s="90"/>
      <c r="E13" s="90"/>
      <c r="F13" s="91"/>
      <c r="G13" s="94"/>
    </row>
    <row r="14" spans="1:7" ht="15" customHeight="1">
      <c r="A14" s="6">
        <v>1</v>
      </c>
      <c r="B14" s="6"/>
      <c r="C14" s="153" t="s">
        <v>616</v>
      </c>
      <c r="D14" s="6" t="s">
        <v>130</v>
      </c>
      <c r="E14" s="9">
        <v>12</v>
      </c>
      <c r="F14" s="127">
        <v>2036.88</v>
      </c>
      <c r="G14" s="127">
        <f>E14*F14</f>
        <v>24442.560000000001</v>
      </c>
    </row>
    <row r="15" spans="1:7" ht="15" customHeight="1">
      <c r="A15" s="10">
        <v>2</v>
      </c>
      <c r="B15" s="10"/>
      <c r="C15" s="21" t="s">
        <v>617</v>
      </c>
      <c r="D15" s="10" t="s">
        <v>130</v>
      </c>
      <c r="E15" s="13">
        <v>12</v>
      </c>
      <c r="F15" s="130">
        <v>1948.32</v>
      </c>
      <c r="G15" s="130">
        <f>E15*F15</f>
        <v>23379.84</v>
      </c>
    </row>
    <row r="16" spans="1:7" ht="15" customHeight="1">
      <c r="A16" s="98">
        <v>3</v>
      </c>
      <c r="B16" s="98"/>
      <c r="C16" s="21" t="s">
        <v>618</v>
      </c>
      <c r="D16" s="98" t="s">
        <v>130</v>
      </c>
      <c r="E16" s="101">
        <v>12</v>
      </c>
      <c r="F16" s="130">
        <v>1948.32</v>
      </c>
      <c r="G16" s="130">
        <f t="shared" ref="G16:G40" si="0">E16*F16</f>
        <v>23379.84</v>
      </c>
    </row>
    <row r="17" spans="1:7" ht="15" customHeight="1">
      <c r="A17" s="10">
        <v>4</v>
      </c>
      <c r="B17" s="98"/>
      <c r="C17" s="21" t="s">
        <v>619</v>
      </c>
      <c r="D17" s="98" t="s">
        <v>130</v>
      </c>
      <c r="E17" s="101">
        <v>12</v>
      </c>
      <c r="F17" s="130">
        <v>1948.32</v>
      </c>
      <c r="G17" s="130">
        <f t="shared" si="0"/>
        <v>23379.84</v>
      </c>
    </row>
    <row r="18" spans="1:7" ht="15" customHeight="1">
      <c r="A18" s="176">
        <v>5</v>
      </c>
      <c r="B18" s="177"/>
      <c r="C18" s="21" t="s">
        <v>620</v>
      </c>
      <c r="D18" s="98" t="s">
        <v>130</v>
      </c>
      <c r="E18" s="101">
        <v>12</v>
      </c>
      <c r="F18" s="130">
        <v>1948.32</v>
      </c>
      <c r="G18" s="130">
        <f t="shared" si="0"/>
        <v>23379.84</v>
      </c>
    </row>
    <row r="19" spans="1:7" ht="15" customHeight="1">
      <c r="A19" s="10">
        <v>6</v>
      </c>
      <c r="B19" s="98"/>
      <c r="C19" s="21" t="s">
        <v>621</v>
      </c>
      <c r="D19" s="98" t="s">
        <v>130</v>
      </c>
      <c r="E19" s="101">
        <v>12</v>
      </c>
      <c r="F19" s="130">
        <v>1859.76</v>
      </c>
      <c r="G19" s="130">
        <f t="shared" si="0"/>
        <v>22317.119999999999</v>
      </c>
    </row>
    <row r="20" spans="1:7" ht="15" customHeight="1">
      <c r="A20" s="10">
        <v>7</v>
      </c>
      <c r="B20" s="98"/>
      <c r="C20" s="21" t="s">
        <v>622</v>
      </c>
      <c r="D20" s="98" t="s">
        <v>623</v>
      </c>
      <c r="E20" s="101">
        <v>15</v>
      </c>
      <c r="F20" s="130">
        <v>10627.22</v>
      </c>
      <c r="G20" s="130">
        <f t="shared" si="0"/>
        <v>159408.29999999999</v>
      </c>
    </row>
    <row r="21" spans="1:7" ht="15" customHeight="1">
      <c r="A21" s="10">
        <v>8</v>
      </c>
      <c r="B21" s="98"/>
      <c r="C21" s="21" t="s">
        <v>624</v>
      </c>
      <c r="D21" s="98" t="s">
        <v>623</v>
      </c>
      <c r="E21" s="101">
        <v>15</v>
      </c>
      <c r="F21" s="130">
        <v>10627.22</v>
      </c>
      <c r="G21" s="130">
        <f t="shared" si="0"/>
        <v>159408.29999999999</v>
      </c>
    </row>
    <row r="22" spans="1:7" ht="15" customHeight="1">
      <c r="A22" s="10">
        <v>9</v>
      </c>
      <c r="B22" s="98"/>
      <c r="C22" s="21" t="s">
        <v>625</v>
      </c>
      <c r="D22" s="98" t="s">
        <v>626</v>
      </c>
      <c r="E22" s="101">
        <v>40</v>
      </c>
      <c r="F22" s="130">
        <v>97.42</v>
      </c>
      <c r="G22" s="130">
        <f t="shared" si="0"/>
        <v>3896.8</v>
      </c>
    </row>
    <row r="23" spans="1:7" s="181" customFormat="1" ht="15" customHeight="1">
      <c r="A23" s="10">
        <v>10</v>
      </c>
      <c r="B23" s="177"/>
      <c r="C23" s="21" t="s">
        <v>627</v>
      </c>
      <c r="D23" s="98" t="s">
        <v>626</v>
      </c>
      <c r="E23" s="101">
        <v>40</v>
      </c>
      <c r="F23" s="130">
        <v>132.84</v>
      </c>
      <c r="G23" s="130">
        <f t="shared" si="0"/>
        <v>5313.6</v>
      </c>
    </row>
    <row r="24" spans="1:7" ht="15" customHeight="1">
      <c r="A24" s="10">
        <v>11</v>
      </c>
      <c r="B24" s="98"/>
      <c r="C24" s="21" t="s">
        <v>628</v>
      </c>
      <c r="D24" s="98" t="s">
        <v>626</v>
      </c>
      <c r="E24" s="101">
        <v>40</v>
      </c>
      <c r="F24" s="130">
        <v>97.42</v>
      </c>
      <c r="G24" s="130">
        <f t="shared" si="0"/>
        <v>3896.8</v>
      </c>
    </row>
    <row r="25" spans="1:7" ht="15" customHeight="1">
      <c r="A25" s="10">
        <v>12</v>
      </c>
      <c r="B25" s="98"/>
      <c r="C25" s="21" t="s">
        <v>629</v>
      </c>
      <c r="D25" s="98" t="s">
        <v>626</v>
      </c>
      <c r="E25" s="101">
        <v>40</v>
      </c>
      <c r="F25" s="130">
        <v>97.42</v>
      </c>
      <c r="G25" s="130">
        <f t="shared" si="0"/>
        <v>3896.8</v>
      </c>
    </row>
    <row r="26" spans="1:7" ht="15" customHeight="1">
      <c r="A26" s="10">
        <v>13</v>
      </c>
      <c r="B26" s="98"/>
      <c r="C26" s="21" t="s">
        <v>630</v>
      </c>
      <c r="D26" s="98" t="s">
        <v>17</v>
      </c>
      <c r="E26" s="101">
        <v>30</v>
      </c>
      <c r="F26" s="130">
        <v>39.85</v>
      </c>
      <c r="G26" s="130">
        <f t="shared" si="0"/>
        <v>1195.5</v>
      </c>
    </row>
    <row r="27" spans="1:7" ht="15" customHeight="1">
      <c r="A27" s="10">
        <v>14</v>
      </c>
      <c r="B27" s="98"/>
      <c r="C27" s="21" t="s">
        <v>631</v>
      </c>
      <c r="D27" s="98" t="s">
        <v>17</v>
      </c>
      <c r="E27" s="101">
        <v>120</v>
      </c>
      <c r="F27" s="130">
        <v>26.57</v>
      </c>
      <c r="G27" s="130">
        <f t="shared" si="0"/>
        <v>3188.4</v>
      </c>
    </row>
    <row r="28" spans="1:7" ht="15" customHeight="1">
      <c r="A28" s="10">
        <v>15</v>
      </c>
      <c r="B28" s="98"/>
      <c r="C28" s="21" t="s">
        <v>632</v>
      </c>
      <c r="D28" s="98" t="s">
        <v>623</v>
      </c>
      <c r="E28" s="101">
        <v>3</v>
      </c>
      <c r="F28" s="130">
        <v>15055.23</v>
      </c>
      <c r="G28" s="130">
        <f t="shared" si="0"/>
        <v>45165.69</v>
      </c>
    </row>
    <row r="29" spans="1:7" s="181" customFormat="1" ht="15" customHeight="1">
      <c r="A29" s="10">
        <v>16</v>
      </c>
      <c r="B29" s="177"/>
      <c r="C29" s="21" t="s">
        <v>633</v>
      </c>
      <c r="D29" s="98" t="s">
        <v>271</v>
      </c>
      <c r="E29" s="101">
        <v>6</v>
      </c>
      <c r="F29" s="130">
        <v>11070.02</v>
      </c>
      <c r="G29" s="130">
        <f t="shared" si="0"/>
        <v>66420.12</v>
      </c>
    </row>
    <row r="30" spans="1:7" ht="15" customHeight="1">
      <c r="A30" s="10">
        <v>17</v>
      </c>
      <c r="B30" s="98"/>
      <c r="C30" s="21" t="s">
        <v>634</v>
      </c>
      <c r="D30" s="98" t="s">
        <v>271</v>
      </c>
      <c r="E30" s="101">
        <v>6</v>
      </c>
      <c r="F30" s="130">
        <v>13284.02</v>
      </c>
      <c r="G30" s="130">
        <f t="shared" si="0"/>
        <v>79704.12</v>
      </c>
    </row>
    <row r="31" spans="1:7" ht="15" customHeight="1">
      <c r="A31" s="10">
        <v>18</v>
      </c>
      <c r="B31" s="98"/>
      <c r="C31" s="21" t="s">
        <v>635</v>
      </c>
      <c r="D31" s="98" t="s">
        <v>271</v>
      </c>
      <c r="E31" s="101">
        <v>6</v>
      </c>
      <c r="F31" s="130">
        <v>17712.03</v>
      </c>
      <c r="G31" s="130">
        <f t="shared" si="0"/>
        <v>106272.18</v>
      </c>
    </row>
    <row r="32" spans="1:7" ht="15" customHeight="1">
      <c r="A32" s="10">
        <v>19</v>
      </c>
      <c r="B32" s="98"/>
      <c r="C32" s="21" t="s">
        <v>636</v>
      </c>
      <c r="D32" s="98" t="s">
        <v>130</v>
      </c>
      <c r="E32" s="101">
        <v>1.5</v>
      </c>
      <c r="F32" s="130">
        <v>13948.23</v>
      </c>
      <c r="G32" s="130">
        <f t="shared" si="0"/>
        <v>20922.349999999999</v>
      </c>
    </row>
    <row r="33" spans="1:7" ht="15" customHeight="1">
      <c r="A33" s="10">
        <v>20</v>
      </c>
      <c r="B33" s="98"/>
      <c r="C33" s="21" t="s">
        <v>637</v>
      </c>
      <c r="D33" s="98" t="s">
        <v>130</v>
      </c>
      <c r="E33" s="101">
        <v>3</v>
      </c>
      <c r="F33" s="130">
        <v>15498.03</v>
      </c>
      <c r="G33" s="130">
        <f t="shared" si="0"/>
        <v>46494.09</v>
      </c>
    </row>
    <row r="34" spans="1:7" ht="15" customHeight="1">
      <c r="A34" s="10">
        <v>21</v>
      </c>
      <c r="B34" s="98"/>
      <c r="C34" s="21" t="s">
        <v>638</v>
      </c>
      <c r="D34" s="98" t="s">
        <v>130</v>
      </c>
      <c r="E34" s="101">
        <v>3</v>
      </c>
      <c r="F34" s="130">
        <v>16383.63</v>
      </c>
      <c r="G34" s="130">
        <f t="shared" si="0"/>
        <v>49150.89</v>
      </c>
    </row>
    <row r="35" spans="1:7" ht="15" customHeight="1">
      <c r="A35" s="10">
        <v>22</v>
      </c>
      <c r="B35" s="98"/>
      <c r="C35" s="21" t="s">
        <v>639</v>
      </c>
      <c r="D35" s="98" t="s">
        <v>130</v>
      </c>
      <c r="E35" s="101">
        <v>1.5</v>
      </c>
      <c r="F35" s="130">
        <v>17269.23</v>
      </c>
      <c r="G35" s="130">
        <f t="shared" si="0"/>
        <v>25903.85</v>
      </c>
    </row>
    <row r="36" spans="1:7" ht="15" customHeight="1">
      <c r="A36" s="10">
        <v>23</v>
      </c>
      <c r="B36" s="98"/>
      <c r="C36" s="21" t="s">
        <v>640</v>
      </c>
      <c r="D36" s="98" t="s">
        <v>130</v>
      </c>
      <c r="E36" s="101">
        <v>0.75</v>
      </c>
      <c r="F36" s="130">
        <v>22140.04</v>
      </c>
      <c r="G36" s="130">
        <f t="shared" si="0"/>
        <v>16605.03</v>
      </c>
    </row>
    <row r="37" spans="1:7" ht="15" customHeight="1">
      <c r="A37" s="10">
        <v>24</v>
      </c>
      <c r="B37" s="98"/>
      <c r="C37" s="21" t="s">
        <v>641</v>
      </c>
      <c r="D37" s="98" t="s">
        <v>109</v>
      </c>
      <c r="E37" s="101">
        <v>20</v>
      </c>
      <c r="F37" s="130">
        <v>3542.41</v>
      </c>
      <c r="G37" s="130">
        <f t="shared" si="0"/>
        <v>70848.2</v>
      </c>
    </row>
    <row r="38" spans="1:7" s="181" customFormat="1" ht="15" customHeight="1">
      <c r="A38" s="10">
        <v>25</v>
      </c>
      <c r="B38" s="177"/>
      <c r="C38" s="21" t="s">
        <v>642</v>
      </c>
      <c r="D38" s="98" t="s">
        <v>109</v>
      </c>
      <c r="E38" s="101">
        <v>40</v>
      </c>
      <c r="F38" s="130">
        <v>1771.2</v>
      </c>
      <c r="G38" s="130">
        <f t="shared" si="0"/>
        <v>70848</v>
      </c>
    </row>
    <row r="39" spans="1:7" ht="15" customHeight="1">
      <c r="A39" s="10">
        <v>26</v>
      </c>
      <c r="B39" s="98"/>
      <c r="C39" s="21" t="s">
        <v>643</v>
      </c>
      <c r="D39" s="98" t="s">
        <v>626</v>
      </c>
      <c r="E39" s="101">
        <v>8</v>
      </c>
      <c r="F39" s="130">
        <v>1062.72</v>
      </c>
      <c r="G39" s="130">
        <f t="shared" si="0"/>
        <v>8501.76</v>
      </c>
    </row>
    <row r="40" spans="1:7" ht="15" customHeight="1">
      <c r="A40" s="10">
        <v>27</v>
      </c>
      <c r="B40" s="98"/>
      <c r="C40" s="21" t="s">
        <v>644</v>
      </c>
      <c r="D40" s="98" t="s">
        <v>626</v>
      </c>
      <c r="E40" s="101">
        <v>3</v>
      </c>
      <c r="F40" s="130">
        <v>1239.8399999999999</v>
      </c>
      <c r="G40" s="130">
        <f t="shared" si="0"/>
        <v>3719.52</v>
      </c>
    </row>
    <row r="41" spans="1:7" ht="15" customHeight="1">
      <c r="A41" s="506"/>
      <c r="B41" s="507"/>
      <c r="C41" s="508"/>
      <c r="D41" s="507"/>
      <c r="E41" s="509"/>
      <c r="F41" s="510"/>
      <c r="G41" s="510"/>
    </row>
    <row r="42" spans="1:7" ht="15" customHeight="1">
      <c r="A42" s="506"/>
      <c r="B42" s="507"/>
      <c r="C42" s="508"/>
      <c r="D42" s="507"/>
      <c r="E42" s="509"/>
      <c r="F42" s="510"/>
      <c r="G42" s="510"/>
    </row>
    <row r="43" spans="1:7" ht="15" customHeight="1">
      <c r="A43" s="506"/>
      <c r="B43" s="507"/>
      <c r="C43" s="508"/>
      <c r="D43" s="507"/>
      <c r="E43" s="509"/>
      <c r="F43" s="510"/>
      <c r="G43" s="510"/>
    </row>
    <row r="44" spans="1:7" ht="15" customHeight="1">
      <c r="A44" s="506"/>
      <c r="B44" s="507"/>
      <c r="C44" s="508"/>
      <c r="D44" s="507"/>
      <c r="E44" s="509"/>
      <c r="F44" s="510"/>
      <c r="G44" s="510"/>
    </row>
    <row r="45" spans="1:7" ht="15" customHeight="1">
      <c r="A45" s="506"/>
      <c r="B45" s="507"/>
      <c r="C45" s="508"/>
      <c r="D45" s="507"/>
      <c r="E45" s="509"/>
      <c r="F45" s="510"/>
      <c r="G45" s="510"/>
    </row>
    <row r="46" spans="1:7" ht="15" customHeight="1">
      <c r="A46" s="506"/>
      <c r="B46" s="507"/>
      <c r="C46" s="508"/>
      <c r="D46" s="507"/>
      <c r="E46" s="509"/>
      <c r="F46" s="510"/>
      <c r="G46" s="510"/>
    </row>
    <row r="47" spans="1:7" ht="15" customHeight="1">
      <c r="A47" s="506"/>
      <c r="B47" s="507"/>
      <c r="C47" s="508"/>
      <c r="D47" s="507"/>
      <c r="E47" s="509"/>
      <c r="F47" s="510"/>
      <c r="G47" s="510"/>
    </row>
    <row r="48" spans="1:7" ht="15" customHeight="1">
      <c r="A48" s="506"/>
      <c r="B48" s="507"/>
      <c r="C48" s="508"/>
      <c r="D48" s="507"/>
      <c r="E48" s="509"/>
      <c r="F48" s="510"/>
      <c r="G48" s="510"/>
    </row>
    <row r="49" spans="1:7" ht="15" customHeight="1">
      <c r="A49" s="506"/>
      <c r="B49" s="507"/>
      <c r="C49" s="508"/>
      <c r="D49" s="507"/>
      <c r="E49" s="509"/>
      <c r="F49" s="510"/>
      <c r="G49" s="510"/>
    </row>
    <row r="50" spans="1:7" ht="15" customHeight="1">
      <c r="A50" s="506"/>
      <c r="B50" s="507"/>
      <c r="C50" s="508"/>
      <c r="D50" s="507"/>
      <c r="E50" s="509"/>
      <c r="F50" s="510"/>
      <c r="G50" s="510"/>
    </row>
    <row r="51" spans="1:7" ht="15" customHeight="1">
      <c r="A51" s="506"/>
      <c r="B51" s="507"/>
      <c r="C51" s="508"/>
      <c r="D51" s="507"/>
      <c r="E51" s="509"/>
      <c r="F51" s="510"/>
      <c r="G51" s="510"/>
    </row>
    <row r="52" spans="1:7" ht="15" customHeight="1">
      <c r="A52" s="10"/>
      <c r="B52" s="98"/>
      <c r="C52" s="21"/>
      <c r="D52" s="98"/>
      <c r="E52" s="101"/>
      <c r="F52" s="130"/>
      <c r="G52" s="130"/>
    </row>
    <row r="53" spans="1:7" ht="13.5">
      <c r="A53" s="706" t="s">
        <v>557</v>
      </c>
      <c r="B53" s="706"/>
      <c r="C53" s="706"/>
      <c r="D53" s="706"/>
      <c r="E53" s="706"/>
      <c r="F53" s="706"/>
      <c r="G53" s="166">
        <f>SUM(G14:G40)</f>
        <v>1091039.3400000001</v>
      </c>
    </row>
    <row r="54" spans="1:7" ht="13.5">
      <c r="A54" s="116"/>
      <c r="B54" s="116"/>
      <c r="C54" s="116"/>
      <c r="D54" s="116"/>
      <c r="E54" s="116"/>
      <c r="F54" s="116"/>
      <c r="G54" s="511"/>
    </row>
    <row r="55" spans="1:7" ht="13.5">
      <c r="A55" s="116"/>
      <c r="B55" s="116"/>
      <c r="C55" s="116"/>
      <c r="D55" s="116"/>
      <c r="E55" s="116"/>
      <c r="F55" s="116"/>
      <c r="G55" s="511"/>
    </row>
    <row r="56" spans="1:7" ht="13.5">
      <c r="A56" s="116"/>
      <c r="B56" s="116"/>
      <c r="C56" s="116"/>
      <c r="D56" s="116"/>
      <c r="E56" s="116"/>
      <c r="F56" s="116"/>
      <c r="G56" s="511"/>
    </row>
    <row r="57" spans="1:7" ht="13.5">
      <c r="A57" s="116"/>
      <c r="B57" s="116"/>
      <c r="C57" s="116"/>
      <c r="D57" s="116"/>
      <c r="E57" s="116"/>
      <c r="F57" s="116"/>
      <c r="G57" s="511"/>
    </row>
    <row r="58" spans="1:7" ht="13.5">
      <c r="A58" s="116"/>
      <c r="B58" s="116"/>
      <c r="C58" s="116"/>
      <c r="D58" s="116"/>
      <c r="E58" s="116"/>
      <c r="F58" s="116"/>
      <c r="G58" s="511"/>
    </row>
    <row r="59" spans="1:7" ht="13.5">
      <c r="A59" s="116"/>
      <c r="B59" s="116"/>
      <c r="C59" s="116"/>
      <c r="D59" s="116"/>
      <c r="E59" s="116"/>
      <c r="F59" s="116"/>
      <c r="G59" s="511"/>
    </row>
    <row r="61" spans="1:7" s="1" customFormat="1" ht="13.5">
      <c r="A61" s="116"/>
      <c r="B61" s="117"/>
      <c r="C61" s="118"/>
      <c r="D61" s="119"/>
      <c r="E61" s="119"/>
      <c r="F61" s="119"/>
      <c r="G61" s="120"/>
    </row>
    <row r="62" spans="1:7" s="1" customFormat="1" ht="23.25" customHeight="1">
      <c r="A62" s="121"/>
      <c r="B62" s="122"/>
      <c r="C62" s="122"/>
      <c r="D62" s="123"/>
      <c r="E62" s="123"/>
      <c r="F62" s="123"/>
      <c r="G62" s="121"/>
    </row>
    <row r="63" spans="1:7" s="1" customFormat="1" ht="13.5">
      <c r="A63" s="124"/>
      <c r="B63" s="117"/>
      <c r="C63" s="118"/>
      <c r="D63" s="119"/>
      <c r="E63" s="119"/>
      <c r="F63" s="119"/>
      <c r="G63" s="120"/>
    </row>
    <row r="64" spans="1:7" s="1" customFormat="1" ht="13.5">
      <c r="A64" s="116"/>
      <c r="B64" s="117"/>
      <c r="C64" s="118"/>
      <c r="D64" s="119"/>
      <c r="E64" s="119"/>
      <c r="F64" s="119"/>
      <c r="G64" s="120"/>
    </row>
    <row r="65" spans="1:7" ht="15" customHeight="1">
      <c r="A65" s="706" t="s">
        <v>558</v>
      </c>
      <c r="B65" s="706"/>
      <c r="C65" s="706"/>
      <c r="D65" s="706"/>
      <c r="E65" s="706"/>
      <c r="F65" s="706"/>
      <c r="G65" s="94">
        <f>G53</f>
        <v>1091039.3400000001</v>
      </c>
    </row>
    <row r="66" spans="1:7" s="181" customFormat="1" ht="15" customHeight="1">
      <c r="A66" s="10">
        <v>28</v>
      </c>
      <c r="B66" s="98"/>
      <c r="C66" s="21" t="s">
        <v>645</v>
      </c>
      <c r="D66" s="98" t="s">
        <v>271</v>
      </c>
      <c r="E66" s="101">
        <v>15</v>
      </c>
      <c r="F66" s="130">
        <v>1328.4</v>
      </c>
      <c r="G66" s="130">
        <f>E66*F66</f>
        <v>19926</v>
      </c>
    </row>
    <row r="67" spans="1:7" ht="15" customHeight="1">
      <c r="A67" s="10">
        <v>29</v>
      </c>
      <c r="B67" s="98"/>
      <c r="C67" s="21" t="s">
        <v>646</v>
      </c>
      <c r="D67" s="98" t="s">
        <v>647</v>
      </c>
      <c r="E67" s="101">
        <v>3</v>
      </c>
      <c r="F67" s="130">
        <v>88.55</v>
      </c>
      <c r="G67" s="130">
        <f>+E67*F67</f>
        <v>265.64999999999998</v>
      </c>
    </row>
    <row r="68" spans="1:7" ht="15" customHeight="1">
      <c r="A68" s="10">
        <v>30</v>
      </c>
      <c r="B68" s="98"/>
      <c r="C68" s="21" t="s">
        <v>648</v>
      </c>
      <c r="D68" s="98" t="s">
        <v>647</v>
      </c>
      <c r="E68" s="101">
        <v>250</v>
      </c>
      <c r="F68" s="130">
        <v>177.12</v>
      </c>
      <c r="G68" s="130">
        <f t="shared" ref="G68:G77" si="1">+E68*F68</f>
        <v>44280</v>
      </c>
    </row>
    <row r="69" spans="1:7" ht="15" customHeight="1">
      <c r="A69" s="10">
        <v>31</v>
      </c>
      <c r="B69" s="98"/>
      <c r="C69" s="21" t="s">
        <v>649</v>
      </c>
      <c r="D69" s="98" t="s">
        <v>647</v>
      </c>
      <c r="E69" s="101">
        <v>200</v>
      </c>
      <c r="F69" s="130">
        <v>177.12</v>
      </c>
      <c r="G69" s="130">
        <f t="shared" si="1"/>
        <v>35424</v>
      </c>
    </row>
    <row r="70" spans="1:7" ht="15" customHeight="1">
      <c r="A70" s="10">
        <v>32</v>
      </c>
      <c r="B70" s="98"/>
      <c r="C70" s="21" t="s">
        <v>650</v>
      </c>
      <c r="D70" s="98" t="s">
        <v>130</v>
      </c>
      <c r="E70" s="101">
        <v>8</v>
      </c>
      <c r="F70" s="130">
        <v>1771.2</v>
      </c>
      <c r="G70" s="130">
        <f t="shared" si="1"/>
        <v>14169.6</v>
      </c>
    </row>
    <row r="71" spans="1:7" ht="15" customHeight="1">
      <c r="A71" s="10">
        <v>33</v>
      </c>
      <c r="B71" s="98"/>
      <c r="C71" s="21" t="s">
        <v>651</v>
      </c>
      <c r="D71" s="98" t="s">
        <v>130</v>
      </c>
      <c r="E71" s="101">
        <v>20</v>
      </c>
      <c r="F71" s="130">
        <v>1771.2</v>
      </c>
      <c r="G71" s="130">
        <f t="shared" si="1"/>
        <v>35424</v>
      </c>
    </row>
    <row r="72" spans="1:7" ht="15" customHeight="1">
      <c r="A72" s="10">
        <v>34</v>
      </c>
      <c r="B72" s="98"/>
      <c r="C72" s="21" t="s">
        <v>652</v>
      </c>
      <c r="D72" s="98" t="s">
        <v>130</v>
      </c>
      <c r="E72" s="101">
        <v>10</v>
      </c>
      <c r="F72" s="130">
        <v>13284.02</v>
      </c>
      <c r="G72" s="130">
        <f t="shared" si="1"/>
        <v>132840.20000000001</v>
      </c>
    </row>
    <row r="73" spans="1:7" ht="15" customHeight="1">
      <c r="A73" s="10">
        <v>35</v>
      </c>
      <c r="B73" s="98"/>
      <c r="C73" s="21" t="s">
        <v>653</v>
      </c>
      <c r="D73" s="98" t="s">
        <v>647</v>
      </c>
      <c r="E73" s="101">
        <v>10</v>
      </c>
      <c r="F73" s="130">
        <v>141.71</v>
      </c>
      <c r="G73" s="130">
        <f t="shared" si="1"/>
        <v>1417.1</v>
      </c>
    </row>
    <row r="74" spans="1:7" ht="15" customHeight="1">
      <c r="A74" s="10">
        <v>36</v>
      </c>
      <c r="B74" s="98"/>
      <c r="C74" s="21" t="s">
        <v>654</v>
      </c>
      <c r="D74" s="98" t="s">
        <v>130</v>
      </c>
      <c r="E74" s="101">
        <v>0.75</v>
      </c>
      <c r="F74" s="130">
        <v>17712.03</v>
      </c>
      <c r="G74" s="130">
        <f t="shared" si="1"/>
        <v>13284.02</v>
      </c>
    </row>
    <row r="75" spans="1:7" ht="15" customHeight="1">
      <c r="A75" s="10">
        <v>37</v>
      </c>
      <c r="B75" s="98"/>
      <c r="C75" s="21" t="s">
        <v>655</v>
      </c>
      <c r="D75" s="98" t="s">
        <v>626</v>
      </c>
      <c r="E75" s="101">
        <v>150</v>
      </c>
      <c r="F75" s="130">
        <v>127.53</v>
      </c>
      <c r="G75" s="130">
        <f t="shared" si="1"/>
        <v>19129.5</v>
      </c>
    </row>
    <row r="76" spans="1:7" s="181" customFormat="1" ht="15" customHeight="1">
      <c r="A76" s="10">
        <v>38</v>
      </c>
      <c r="B76" s="98"/>
      <c r="C76" s="21" t="s">
        <v>656</v>
      </c>
      <c r="D76" s="98" t="s">
        <v>626</v>
      </c>
      <c r="E76" s="101">
        <v>80</v>
      </c>
      <c r="F76" s="130">
        <v>162.94</v>
      </c>
      <c r="G76" s="130">
        <f t="shared" si="1"/>
        <v>13035.2</v>
      </c>
    </row>
    <row r="77" spans="1:7" ht="15" customHeight="1">
      <c r="A77" s="201">
        <v>39</v>
      </c>
      <c r="B77" s="201"/>
      <c r="C77" s="202" t="s">
        <v>657</v>
      </c>
      <c r="D77" s="201" t="s">
        <v>626</v>
      </c>
      <c r="E77" s="16">
        <v>80</v>
      </c>
      <c r="F77" s="203">
        <v>97.42</v>
      </c>
      <c r="G77" s="203">
        <f t="shared" si="1"/>
        <v>7793.6</v>
      </c>
    </row>
    <row r="78" spans="1:7" ht="15" customHeight="1">
      <c r="A78" s="708" t="s">
        <v>661</v>
      </c>
      <c r="B78" s="709"/>
      <c r="C78" s="709"/>
      <c r="D78" s="709"/>
      <c r="E78" s="709"/>
      <c r="F78" s="710"/>
      <c r="G78" s="94">
        <f>SUM(G65:G77)</f>
        <v>1428028.21</v>
      </c>
    </row>
    <row r="79" spans="1:7" s="181" customFormat="1" ht="15" customHeight="1">
      <c r="A79" s="204"/>
      <c r="B79" s="205"/>
      <c r="C79" s="206"/>
      <c r="D79" s="207"/>
      <c r="E79" s="208"/>
      <c r="F79" s="209"/>
      <c r="G79" s="209"/>
    </row>
    <row r="80" spans="1:7" s="181" customFormat="1" ht="15" customHeight="1">
      <c r="A80" s="143" t="s">
        <v>660</v>
      </c>
      <c r="B80" s="177"/>
      <c r="C80" s="21"/>
      <c r="D80" s="98"/>
      <c r="E80" s="210">
        <v>0.25</v>
      </c>
      <c r="F80" s="130"/>
      <c r="G80" s="130">
        <f>G78*E80</f>
        <v>357007.05</v>
      </c>
    </row>
    <row r="81" spans="1:7" s="181" customFormat="1" ht="15" customHeight="1">
      <c r="A81" s="10"/>
      <c r="B81" s="177"/>
      <c r="C81" s="21"/>
      <c r="D81" s="98"/>
      <c r="E81" s="101"/>
      <c r="F81" s="130"/>
      <c r="G81" s="130"/>
    </row>
    <row r="82" spans="1:7" ht="15" customHeight="1">
      <c r="A82" s="10"/>
      <c r="B82" s="98"/>
      <c r="C82" s="21"/>
      <c r="D82" s="98"/>
      <c r="E82" s="101"/>
      <c r="F82" s="130"/>
      <c r="G82" s="130"/>
    </row>
    <row r="83" spans="1:7" ht="15" customHeight="1">
      <c r="A83" s="10"/>
      <c r="B83" s="98"/>
      <c r="C83" s="21"/>
      <c r="D83" s="98"/>
      <c r="E83" s="101"/>
      <c r="F83" s="130"/>
      <c r="G83" s="130"/>
    </row>
    <row r="84" spans="1:7" ht="15" customHeight="1">
      <c r="A84" s="506"/>
      <c r="B84" s="507"/>
      <c r="C84" s="508"/>
      <c r="D84" s="507"/>
      <c r="E84" s="509"/>
      <c r="F84" s="510"/>
      <c r="G84" s="510"/>
    </row>
    <row r="85" spans="1:7" ht="15" customHeight="1">
      <c r="A85" s="506"/>
      <c r="B85" s="507"/>
      <c r="C85" s="508"/>
      <c r="D85" s="507"/>
      <c r="E85" s="509"/>
      <c r="F85" s="510"/>
      <c r="G85" s="510"/>
    </row>
    <row r="86" spans="1:7" ht="15" customHeight="1">
      <c r="A86" s="506"/>
      <c r="B86" s="507"/>
      <c r="C86" s="508"/>
      <c r="D86" s="507"/>
      <c r="E86" s="509"/>
      <c r="F86" s="510"/>
      <c r="G86" s="510"/>
    </row>
    <row r="87" spans="1:7" ht="15" customHeight="1">
      <c r="A87" s="506"/>
      <c r="B87" s="507"/>
      <c r="C87" s="508"/>
      <c r="D87" s="507"/>
      <c r="E87" s="509"/>
      <c r="F87" s="510"/>
      <c r="G87" s="510"/>
    </row>
    <row r="88" spans="1:7" ht="15" customHeight="1">
      <c r="A88" s="506"/>
      <c r="B88" s="507"/>
      <c r="C88" s="508"/>
      <c r="D88" s="507"/>
      <c r="E88" s="509"/>
      <c r="F88" s="510"/>
      <c r="G88" s="510"/>
    </row>
    <row r="89" spans="1:7" ht="15" customHeight="1">
      <c r="A89" s="506"/>
      <c r="B89" s="507"/>
      <c r="C89" s="508"/>
      <c r="D89" s="507"/>
      <c r="E89" s="509"/>
      <c r="F89" s="510"/>
      <c r="G89" s="510"/>
    </row>
    <row r="90" spans="1:7" ht="15" customHeight="1">
      <c r="A90" s="506"/>
      <c r="B90" s="507"/>
      <c r="C90" s="508"/>
      <c r="D90" s="507"/>
      <c r="E90" s="509"/>
      <c r="F90" s="510"/>
      <c r="G90" s="510"/>
    </row>
    <row r="91" spans="1:7" ht="15" customHeight="1">
      <c r="A91" s="506"/>
      <c r="B91" s="507"/>
      <c r="C91" s="508"/>
      <c r="D91" s="507"/>
      <c r="E91" s="509"/>
      <c r="F91" s="510"/>
      <c r="G91" s="510"/>
    </row>
    <row r="92" spans="1:7" ht="15" customHeight="1">
      <c r="A92" s="506"/>
      <c r="B92" s="507"/>
      <c r="C92" s="508"/>
      <c r="D92" s="507"/>
      <c r="E92" s="509"/>
      <c r="F92" s="510"/>
      <c r="G92" s="510"/>
    </row>
    <row r="93" spans="1:7" ht="15" customHeight="1">
      <c r="A93" s="506"/>
      <c r="B93" s="507"/>
      <c r="C93" s="508"/>
      <c r="D93" s="507"/>
      <c r="E93" s="509"/>
      <c r="F93" s="510"/>
      <c r="G93" s="510"/>
    </row>
    <row r="94" spans="1:7" ht="15" customHeight="1">
      <c r="A94" s="10"/>
      <c r="B94" s="98"/>
      <c r="C94" s="21"/>
      <c r="D94" s="98"/>
      <c r="E94" s="101"/>
      <c r="F94" s="130"/>
      <c r="G94" s="130"/>
    </row>
    <row r="95" spans="1:7" ht="15" customHeight="1">
      <c r="A95" s="10"/>
      <c r="B95" s="98"/>
      <c r="C95" s="21"/>
      <c r="D95" s="98"/>
      <c r="E95" s="101"/>
      <c r="F95" s="130"/>
      <c r="G95" s="130"/>
    </row>
    <row r="96" spans="1:7" ht="15" customHeight="1">
      <c r="A96" s="10"/>
      <c r="B96" s="98"/>
      <c r="C96" s="21"/>
      <c r="D96" s="98"/>
      <c r="E96" s="101"/>
      <c r="F96" s="130"/>
      <c r="G96" s="130"/>
    </row>
    <row r="97" spans="1:7" ht="15" customHeight="1">
      <c r="A97" s="10"/>
      <c r="B97" s="98"/>
      <c r="C97" s="21"/>
      <c r="D97" s="98"/>
      <c r="E97" s="101"/>
      <c r="F97" s="130"/>
      <c r="G97" s="130"/>
    </row>
    <row r="98" spans="1:7" ht="15" customHeight="1">
      <c r="A98" s="10"/>
      <c r="B98" s="98"/>
      <c r="C98" s="21"/>
      <c r="D98" s="98"/>
      <c r="E98" s="101"/>
      <c r="F98" s="130"/>
      <c r="G98" s="130"/>
    </row>
    <row r="99" spans="1:7" ht="15" customHeight="1">
      <c r="A99" s="10"/>
      <c r="B99" s="98"/>
      <c r="C99" s="21"/>
      <c r="D99" s="98"/>
      <c r="E99" s="101"/>
      <c r="F99" s="130"/>
      <c r="G99" s="130"/>
    </row>
    <row r="100" spans="1:7" ht="15" customHeight="1">
      <c r="A100" s="10"/>
      <c r="B100" s="98"/>
      <c r="C100" s="21"/>
      <c r="D100" s="98"/>
      <c r="E100" s="101"/>
      <c r="F100" s="130"/>
      <c r="G100" s="130"/>
    </row>
    <row r="101" spans="1:7" ht="15" customHeight="1">
      <c r="A101" s="10"/>
      <c r="B101" s="98"/>
      <c r="C101" s="21"/>
      <c r="D101" s="98"/>
      <c r="E101" s="101"/>
      <c r="F101" s="130"/>
      <c r="G101" s="130"/>
    </row>
    <row r="102" spans="1:7" ht="15" customHeight="1">
      <c r="A102" s="10"/>
      <c r="B102" s="98"/>
      <c r="C102" s="21"/>
      <c r="D102" s="98"/>
      <c r="E102" s="101"/>
      <c r="F102" s="130"/>
      <c r="G102" s="130"/>
    </row>
    <row r="103" spans="1:7" ht="15" customHeight="1">
      <c r="A103" s="708" t="s">
        <v>659</v>
      </c>
      <c r="B103" s="709"/>
      <c r="C103" s="709"/>
      <c r="D103" s="709"/>
      <c r="E103" s="709"/>
      <c r="F103" s="710"/>
      <c r="G103" s="166">
        <f>G78+G80</f>
        <v>1785035.26</v>
      </c>
    </row>
    <row r="104" spans="1:7" ht="15" customHeight="1">
      <c r="A104" s="116"/>
      <c r="B104" s="116"/>
      <c r="C104" s="116"/>
      <c r="D104" s="116"/>
      <c r="E104" s="116"/>
      <c r="F104" s="116"/>
      <c r="G104" s="511"/>
    </row>
    <row r="105" spans="1:7" ht="15" customHeight="1">
      <c r="A105" s="116"/>
      <c r="B105" s="116"/>
      <c r="C105" s="116"/>
      <c r="D105" s="116"/>
      <c r="E105" s="116"/>
      <c r="F105" s="116"/>
      <c r="G105" s="511"/>
    </row>
    <row r="106" spans="1:7" ht="15" customHeight="1">
      <c r="A106" s="116"/>
      <c r="B106" s="116"/>
      <c r="C106" s="116"/>
      <c r="D106" s="116"/>
      <c r="E106" s="116"/>
      <c r="F106" s="116"/>
      <c r="G106" s="511"/>
    </row>
    <row r="107" spans="1:7" ht="15" customHeight="1">
      <c r="A107" s="116"/>
      <c r="B107" s="116"/>
      <c r="C107" s="116"/>
      <c r="D107" s="116"/>
      <c r="E107" s="116"/>
      <c r="F107" s="116"/>
      <c r="G107" s="511"/>
    </row>
    <row r="108" spans="1:7" ht="15" customHeight="1">
      <c r="A108" s="116"/>
      <c r="B108" s="116"/>
      <c r="C108" s="116"/>
      <c r="D108" s="116"/>
      <c r="E108" s="116"/>
      <c r="F108" s="116"/>
      <c r="G108" s="511"/>
    </row>
    <row r="109" spans="1:7" ht="15" customHeight="1">
      <c r="A109" s="116"/>
      <c r="B109" s="116"/>
      <c r="C109" s="116"/>
      <c r="D109" s="116"/>
      <c r="E109" s="116"/>
      <c r="F109" s="116"/>
      <c r="G109" s="511"/>
    </row>
    <row r="110" spans="1:7" ht="15" customHeight="1">
      <c r="A110" s="116"/>
      <c r="B110" s="116"/>
      <c r="C110" s="116"/>
      <c r="D110" s="116"/>
      <c r="E110" s="116"/>
      <c r="F110" s="116"/>
      <c r="G110" s="511"/>
    </row>
    <row r="111" spans="1:7" ht="15" customHeight="1">
      <c r="A111" s="116"/>
      <c r="B111" s="116"/>
      <c r="C111" s="116"/>
      <c r="D111" s="116"/>
      <c r="E111" s="116"/>
      <c r="F111" s="116"/>
      <c r="G111" s="511"/>
    </row>
    <row r="113" spans="1:7" ht="13.5">
      <c r="A113" s="116"/>
      <c r="B113" s="117"/>
      <c r="C113" s="118"/>
      <c r="D113" s="119"/>
      <c r="E113" s="119"/>
      <c r="F113" s="119"/>
      <c r="G113" s="120"/>
    </row>
    <row r="114" spans="1:7" s="1" customFormat="1" ht="23.25" customHeight="1">
      <c r="A114" s="121"/>
      <c r="B114" s="122"/>
      <c r="C114" s="122"/>
      <c r="D114" s="123"/>
      <c r="E114" s="123"/>
      <c r="F114" s="123"/>
      <c r="G114" s="121"/>
    </row>
    <row r="115" spans="1:7" ht="13.5">
      <c r="A115" s="124"/>
      <c r="B115" s="117"/>
      <c r="C115" s="118"/>
      <c r="D115" s="119"/>
      <c r="E115" s="119"/>
      <c r="F115" s="119"/>
      <c r="G115" s="120"/>
    </row>
    <row r="116" spans="1:7" ht="13.5">
      <c r="A116" s="116"/>
      <c r="B116" s="117"/>
      <c r="C116" s="118"/>
      <c r="D116" s="119"/>
      <c r="E116" s="119"/>
      <c r="F116" s="119"/>
      <c r="G116" s="120"/>
    </row>
  </sheetData>
  <mergeCells count="12">
    <mergeCell ref="A10:C10"/>
    <mergeCell ref="D10:G10"/>
    <mergeCell ref="G11:G12"/>
    <mergeCell ref="A53:F53"/>
    <mergeCell ref="A65:F65"/>
    <mergeCell ref="A103:F103"/>
    <mergeCell ref="A78:F78"/>
    <mergeCell ref="A11:B11"/>
    <mergeCell ref="C11:C12"/>
    <mergeCell ref="D11:D12"/>
    <mergeCell ref="E11:E12"/>
    <mergeCell ref="F11:F12"/>
  </mergeCells>
  <pageMargins left="0.7" right="0.7" top="0.75" bottom="0.75" header="0.3" footer="0.3"/>
  <pageSetup paperSize="9" scale="8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54"/>
  <sheetViews>
    <sheetView view="pageBreakPreview" zoomScale="80" zoomScaleSheetLayoutView="80" workbookViewId="0">
      <selection activeCell="C18" sqref="C18"/>
    </sheetView>
  </sheetViews>
  <sheetFormatPr defaultRowHeight="12.75"/>
  <cols>
    <col min="1" max="1" width="5.66015625" style="82" customWidth="1"/>
    <col min="2" max="2" width="9.84375" style="83" customWidth="1"/>
    <col min="3" max="3" width="46.1171875" style="83" customWidth="1"/>
    <col min="4" max="4" width="6.7421875" style="82" customWidth="1"/>
    <col min="5" max="5" width="10.24609375" style="84" bestFit="1" customWidth="1"/>
    <col min="6" max="6" width="12.67578125" style="85" customWidth="1"/>
    <col min="7" max="7" width="22.65234375" style="85" customWidth="1"/>
  </cols>
  <sheetData>
    <row r="1" spans="1:7" s="29" customFormat="1" ht="16.899999999999999" customHeight="1">
      <c r="A1" s="47" t="s">
        <v>51</v>
      </c>
      <c r="B1" s="47"/>
      <c r="C1" s="48" t="str">
        <f>'Bill 1'!C1</f>
        <v>:MISCELLANEOUS FOREIGN AIDED PROJECT</v>
      </c>
      <c r="D1" s="47"/>
      <c r="E1" s="47"/>
      <c r="F1" s="47"/>
      <c r="G1" s="47"/>
    </row>
    <row r="2" spans="1:7" s="29" customFormat="1" ht="16.899999999999999" customHeight="1">
      <c r="A2" s="47" t="s">
        <v>52</v>
      </c>
      <c r="B2" s="47"/>
      <c r="C2" s="48" t="str">
        <f>'Bill 1'!C2</f>
        <v>REHABILITATION OF THE A-017 ROAD CORRIDOR PROJECT (SURIYAKANDA - RAKWANA)</v>
      </c>
      <c r="D2" s="47"/>
      <c r="E2" s="47"/>
      <c r="F2" s="47"/>
      <c r="G2" s="47"/>
    </row>
    <row r="3" spans="1:7" s="29" customFormat="1" ht="16.899999999999999" customHeight="1">
      <c r="A3" s="47" t="s">
        <v>52</v>
      </c>
      <c r="B3" s="47"/>
      <c r="C3" s="48" t="str">
        <f>'Bill 1'!C3</f>
        <v>FUNDED BY OPEC FUND FOR INTERNATIONAL DEVELOPMENT (OFID)</v>
      </c>
      <c r="D3" s="47"/>
      <c r="E3" s="47"/>
      <c r="F3" s="47"/>
      <c r="G3" s="47"/>
    </row>
    <row r="4" spans="1:7" s="29" customFormat="1" ht="16.899999999999999" customHeight="1">
      <c r="A4" s="47"/>
      <c r="B4" s="47"/>
      <c r="C4" s="48" t="str">
        <f>'Bill 1'!C4</f>
        <v>SECTION FROM CH. 112+600 KM TO CH. 118+600 KM</v>
      </c>
      <c r="D4" s="47"/>
      <c r="E4" s="47"/>
      <c r="F4" s="47"/>
      <c r="G4" s="47"/>
    </row>
    <row r="5" spans="1:7" s="29" customFormat="1" ht="5.25" customHeight="1">
      <c r="A5" s="47"/>
      <c r="B5" s="47"/>
      <c r="C5" s="48"/>
      <c r="D5" s="47"/>
      <c r="E5" s="47"/>
      <c r="F5" s="47"/>
      <c r="G5" s="47"/>
    </row>
    <row r="6" spans="1:7" s="29" customFormat="1" ht="16.899999999999999" customHeight="1">
      <c r="A6" s="47" t="s">
        <v>53</v>
      </c>
      <c r="B6" s="47"/>
      <c r="C6" s="48" t="str">
        <f>'Bill 1'!C6</f>
        <v>:RDA/MFAP/ICB/OFID-04(A)</v>
      </c>
      <c r="D6" s="47"/>
      <c r="E6" s="47"/>
      <c r="F6" s="47"/>
      <c r="G6" s="47"/>
    </row>
    <row r="7" spans="1:7" s="29" customFormat="1" ht="15.95" customHeight="1">
      <c r="A7" s="48"/>
      <c r="B7" s="47"/>
      <c r="C7" s="47"/>
      <c r="D7" s="51"/>
      <c r="E7" s="51"/>
      <c r="F7" s="51"/>
      <c r="G7" s="51"/>
    </row>
    <row r="8" spans="1:7" s="29" customFormat="1" ht="8.25" customHeight="1">
      <c r="A8" s="2"/>
      <c r="B8" s="3"/>
      <c r="C8" s="3"/>
      <c r="D8" s="4"/>
      <c r="E8" s="4"/>
      <c r="F8" s="4"/>
      <c r="G8" s="4"/>
    </row>
    <row r="9" spans="1:7" s="29" customFormat="1" ht="21" customHeight="1">
      <c r="A9" s="125" t="s">
        <v>662</v>
      </c>
      <c r="B9" s="88"/>
      <c r="C9" s="88"/>
      <c r="D9" s="35"/>
      <c r="E9" s="35"/>
      <c r="F9" s="35"/>
      <c r="G9" s="35"/>
    </row>
    <row r="10" spans="1:7" s="29" customFormat="1" ht="16.5" customHeight="1">
      <c r="A10" s="695"/>
      <c r="B10" s="695"/>
      <c r="C10" s="695"/>
      <c r="D10" s="696" t="s">
        <v>56</v>
      </c>
      <c r="E10" s="697"/>
      <c r="F10" s="697"/>
      <c r="G10" s="698"/>
    </row>
    <row r="11" spans="1:7" s="29" customFormat="1" ht="16.5" customHeight="1">
      <c r="A11" s="699" t="s">
        <v>138</v>
      </c>
      <c r="B11" s="699"/>
      <c r="C11" s="699" t="s">
        <v>74</v>
      </c>
      <c r="D11" s="699" t="s">
        <v>139</v>
      </c>
      <c r="E11" s="699" t="s">
        <v>140</v>
      </c>
      <c r="F11" s="699" t="s">
        <v>141</v>
      </c>
      <c r="G11" s="699" t="s">
        <v>57</v>
      </c>
    </row>
    <row r="12" spans="1:7" s="29" customFormat="1" ht="16.5" customHeight="1">
      <c r="A12" s="87" t="s">
        <v>0</v>
      </c>
      <c r="B12" s="87" t="s">
        <v>1</v>
      </c>
      <c r="C12" s="699"/>
      <c r="D12" s="699"/>
      <c r="E12" s="699"/>
      <c r="F12" s="699"/>
      <c r="G12" s="699"/>
    </row>
    <row r="13" spans="1:7" ht="13.5">
      <c r="A13" s="89">
        <v>9.1</v>
      </c>
      <c r="B13" s="91"/>
      <c r="C13" s="89" t="s">
        <v>663</v>
      </c>
      <c r="D13" s="90"/>
      <c r="E13" s="90"/>
      <c r="F13" s="91"/>
      <c r="G13" s="94"/>
    </row>
    <row r="14" spans="1:7" ht="36">
      <c r="A14" s="6">
        <v>1</v>
      </c>
      <c r="B14" s="6" t="s">
        <v>664</v>
      </c>
      <c r="C14" s="153" t="s">
        <v>665</v>
      </c>
      <c r="D14" s="6" t="s">
        <v>666</v>
      </c>
      <c r="E14" s="9" t="s">
        <v>138</v>
      </c>
      <c r="F14" s="127" t="s">
        <v>667</v>
      </c>
      <c r="G14" s="127">
        <v>100000</v>
      </c>
    </row>
    <row r="15" spans="1:7" s="181" customFormat="1" ht="13.5">
      <c r="A15" s="176">
        <v>9.1999999999999993</v>
      </c>
      <c r="B15" s="176"/>
      <c r="C15" s="178" t="s">
        <v>668</v>
      </c>
      <c r="D15" s="176"/>
      <c r="E15" s="187"/>
      <c r="F15" s="180"/>
      <c r="G15" s="180"/>
    </row>
    <row r="16" spans="1:7" ht="13.5">
      <c r="A16" s="98">
        <v>1</v>
      </c>
      <c r="B16" s="98" t="s">
        <v>669</v>
      </c>
      <c r="C16" s="21" t="s">
        <v>670</v>
      </c>
      <c r="D16" s="98" t="s">
        <v>666</v>
      </c>
      <c r="E16" s="101" t="s">
        <v>138</v>
      </c>
      <c r="F16" s="130" t="s">
        <v>667</v>
      </c>
      <c r="G16" s="130">
        <v>1000000</v>
      </c>
    </row>
    <row r="17" spans="1:7" s="181" customFormat="1" ht="13.5">
      <c r="A17" s="176">
        <v>9.3000000000000007</v>
      </c>
      <c r="B17" s="177"/>
      <c r="C17" s="188" t="s">
        <v>671</v>
      </c>
      <c r="D17" s="177"/>
      <c r="E17" s="179"/>
      <c r="F17" s="180"/>
      <c r="G17" s="180"/>
    </row>
    <row r="18" spans="1:7" ht="59.25">
      <c r="A18" s="10">
        <v>1</v>
      </c>
      <c r="B18" s="98" t="s">
        <v>672</v>
      </c>
      <c r="C18" s="21" t="s">
        <v>673</v>
      </c>
      <c r="D18" s="98" t="s">
        <v>666</v>
      </c>
      <c r="E18" s="101" t="s">
        <v>138</v>
      </c>
      <c r="F18" s="130" t="s">
        <v>667</v>
      </c>
      <c r="G18" s="130">
        <v>3000000</v>
      </c>
    </row>
    <row r="19" spans="1:7" s="181" customFormat="1" ht="13.5">
      <c r="A19" s="176">
        <v>9.4</v>
      </c>
      <c r="B19" s="177"/>
      <c r="C19" s="188" t="s">
        <v>674</v>
      </c>
      <c r="D19" s="177"/>
      <c r="E19" s="179"/>
      <c r="F19" s="180"/>
      <c r="G19" s="180"/>
    </row>
    <row r="20" spans="1:7" ht="59.25">
      <c r="A20" s="10">
        <v>1</v>
      </c>
      <c r="B20" s="98" t="s">
        <v>675</v>
      </c>
      <c r="C20" s="21" t="s">
        <v>676</v>
      </c>
      <c r="D20" s="98" t="s">
        <v>666</v>
      </c>
      <c r="E20" s="101" t="s">
        <v>138</v>
      </c>
      <c r="F20" s="130" t="s">
        <v>667</v>
      </c>
      <c r="G20" s="130">
        <v>6000000</v>
      </c>
    </row>
    <row r="21" spans="1:7" s="181" customFormat="1" ht="13.5">
      <c r="A21" s="176">
        <v>9.5</v>
      </c>
      <c r="B21" s="177"/>
      <c r="C21" s="178" t="s">
        <v>677</v>
      </c>
      <c r="D21" s="177"/>
      <c r="E21" s="179"/>
      <c r="F21" s="180"/>
      <c r="G21" s="180"/>
    </row>
    <row r="22" spans="1:7" ht="13.5">
      <c r="A22" s="10">
        <v>1</v>
      </c>
      <c r="B22" s="98" t="s">
        <v>678</v>
      </c>
      <c r="C22" s="21" t="s">
        <v>679</v>
      </c>
      <c r="D22" s="98" t="s">
        <v>666</v>
      </c>
      <c r="E22" s="101" t="s">
        <v>138</v>
      </c>
      <c r="F22" s="130" t="s">
        <v>667</v>
      </c>
      <c r="G22" s="130">
        <v>13000000</v>
      </c>
    </row>
    <row r="23" spans="1:7" s="181" customFormat="1" ht="13.5">
      <c r="A23" s="10">
        <v>2</v>
      </c>
      <c r="B23" s="98" t="s">
        <v>680</v>
      </c>
      <c r="C23" s="21" t="s">
        <v>681</v>
      </c>
      <c r="D23" s="98" t="s">
        <v>666</v>
      </c>
      <c r="E23" s="101" t="s">
        <v>138</v>
      </c>
      <c r="F23" s="130" t="s">
        <v>667</v>
      </c>
      <c r="G23" s="130">
        <v>5000000</v>
      </c>
    </row>
    <row r="24" spans="1:7" ht="24">
      <c r="A24" s="10">
        <v>3</v>
      </c>
      <c r="B24" s="98" t="s">
        <v>682</v>
      </c>
      <c r="C24" s="21" t="s">
        <v>683</v>
      </c>
      <c r="D24" s="98" t="s">
        <v>666</v>
      </c>
      <c r="E24" s="101" t="s">
        <v>138</v>
      </c>
      <c r="F24" s="130" t="s">
        <v>667</v>
      </c>
      <c r="G24" s="130">
        <v>5000000</v>
      </c>
    </row>
    <row r="25" spans="1:7" s="181" customFormat="1" ht="13.5">
      <c r="A25" s="176">
        <v>9.6</v>
      </c>
      <c r="B25" s="177"/>
      <c r="C25" s="188" t="s">
        <v>684</v>
      </c>
      <c r="D25" s="177"/>
      <c r="E25" s="179"/>
      <c r="F25" s="180"/>
      <c r="G25" s="180"/>
    </row>
    <row r="26" spans="1:7" ht="24">
      <c r="A26" s="10">
        <v>1</v>
      </c>
      <c r="B26" s="98" t="s">
        <v>685</v>
      </c>
      <c r="C26" s="21" t="s">
        <v>686</v>
      </c>
      <c r="D26" s="98" t="s">
        <v>666</v>
      </c>
      <c r="E26" s="101" t="s">
        <v>138</v>
      </c>
      <c r="F26" s="130" t="s">
        <v>667</v>
      </c>
      <c r="G26" s="130">
        <v>1000000</v>
      </c>
    </row>
    <row r="27" spans="1:7" s="181" customFormat="1" ht="13.5">
      <c r="A27" s="176">
        <v>9.6999999999999993</v>
      </c>
      <c r="B27" s="177"/>
      <c r="C27" s="178" t="s">
        <v>687</v>
      </c>
      <c r="D27" s="177"/>
      <c r="E27" s="179"/>
      <c r="F27" s="180"/>
      <c r="G27" s="180"/>
    </row>
    <row r="28" spans="1:7" ht="16.5" customHeight="1">
      <c r="A28" s="10">
        <v>1</v>
      </c>
      <c r="B28" s="98" t="s">
        <v>688</v>
      </c>
      <c r="C28" s="21" t="s">
        <v>689</v>
      </c>
      <c r="D28" s="98" t="s">
        <v>666</v>
      </c>
      <c r="E28" s="101" t="s">
        <v>138</v>
      </c>
      <c r="F28" s="130" t="s">
        <v>667</v>
      </c>
      <c r="G28" s="130">
        <v>300000</v>
      </c>
    </row>
    <row r="29" spans="1:7" s="181" customFormat="1" ht="13.5">
      <c r="A29" s="176">
        <v>9.8000000000000007</v>
      </c>
      <c r="B29" s="177"/>
      <c r="C29" s="178" t="s">
        <v>690</v>
      </c>
      <c r="D29" s="177"/>
      <c r="E29" s="179"/>
      <c r="F29" s="180"/>
      <c r="G29" s="180"/>
    </row>
    <row r="30" spans="1:7" ht="17.25" customHeight="1">
      <c r="A30" s="10">
        <v>1</v>
      </c>
      <c r="B30" s="98" t="s">
        <v>691</v>
      </c>
      <c r="C30" s="21" t="s">
        <v>692</v>
      </c>
      <c r="D30" s="98" t="s">
        <v>666</v>
      </c>
      <c r="E30" s="101" t="s">
        <v>138</v>
      </c>
      <c r="F30" s="130" t="s">
        <v>667</v>
      </c>
      <c r="G30" s="130">
        <v>1600000</v>
      </c>
    </row>
    <row r="31" spans="1:7" ht="13.5">
      <c r="A31" s="708" t="s">
        <v>560</v>
      </c>
      <c r="B31" s="709"/>
      <c r="C31" s="709"/>
      <c r="D31" s="709"/>
      <c r="E31" s="709"/>
      <c r="F31" s="710"/>
      <c r="G31" s="166">
        <f>SUM(G14:G30)</f>
        <v>36000000</v>
      </c>
    </row>
    <row r="51" spans="1:7" s="1" customFormat="1" ht="13.5">
      <c r="A51" s="116"/>
      <c r="B51" s="117"/>
      <c r="C51" s="118"/>
      <c r="D51" s="119"/>
      <c r="E51" s="119"/>
      <c r="F51" s="119"/>
      <c r="G51" s="120"/>
    </row>
    <row r="52" spans="1:7" s="1" customFormat="1" ht="23.25" customHeight="1">
      <c r="A52" s="121"/>
      <c r="B52" s="122"/>
      <c r="C52" s="122"/>
      <c r="D52" s="123"/>
      <c r="E52" s="123"/>
      <c r="F52" s="123"/>
      <c r="G52" s="121"/>
    </row>
    <row r="53" spans="1:7" s="1" customFormat="1" ht="13.5">
      <c r="A53" s="124"/>
      <c r="B53" s="117"/>
      <c r="C53" s="118"/>
      <c r="D53" s="119"/>
      <c r="E53" s="119"/>
      <c r="F53" s="119"/>
      <c r="G53" s="120"/>
    </row>
    <row r="54" spans="1:7" s="1" customFormat="1" ht="13.5">
      <c r="A54" s="116"/>
      <c r="B54" s="117"/>
      <c r="C54" s="118"/>
      <c r="D54" s="119"/>
      <c r="E54" s="119"/>
      <c r="F54" s="119"/>
      <c r="G54" s="120"/>
    </row>
  </sheetData>
  <mergeCells count="9">
    <mergeCell ref="A31:F31"/>
    <mergeCell ref="A10:C10"/>
    <mergeCell ref="D10:G10"/>
    <mergeCell ref="A11:B11"/>
    <mergeCell ref="C11:C12"/>
    <mergeCell ref="D11:D12"/>
    <mergeCell ref="E11:E12"/>
    <mergeCell ref="F11:F12"/>
    <mergeCell ref="G11:G12"/>
  </mergeCells>
  <pageMargins left="0.7" right="0.49" top="0.75" bottom="0.75" header="0.3" footer="0.3"/>
  <pageSetup paperSize="9" scale="7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sheetPr>
  <dimension ref="B1:K112"/>
  <sheetViews>
    <sheetView view="pageBreakPreview" topLeftCell="A79" zoomScale="80" zoomScaleSheetLayoutView="80" workbookViewId="0">
      <selection activeCell="J90" sqref="J90"/>
    </sheetView>
  </sheetViews>
  <sheetFormatPr defaultRowHeight="13.5"/>
  <cols>
    <col min="1" max="1" width="9.16796875" style="336"/>
    <col min="2" max="2" width="2.96484375" style="336" customWidth="1"/>
    <col min="3" max="3" width="5.66015625" style="336" customWidth="1"/>
    <col min="4" max="4" width="24.13671875" style="336" customWidth="1"/>
    <col min="5" max="5" width="13.75390625" style="336" customWidth="1"/>
    <col min="6" max="6" width="2.6953125" style="336" customWidth="1"/>
    <col min="7" max="7" width="11.59375" style="336" customWidth="1"/>
    <col min="8" max="8" width="14.83203125" style="336" customWidth="1"/>
    <col min="9" max="9" width="21.98046875" style="336" customWidth="1"/>
    <col min="10" max="10" width="16.1796875" style="336" customWidth="1"/>
    <col min="11" max="11" width="27.5078125" style="336" customWidth="1"/>
    <col min="12" max="244" width="9.16796875" style="336"/>
    <col min="245" max="245" width="13.75390625" style="336" customWidth="1"/>
    <col min="246" max="246" width="7.953125" style="336" customWidth="1"/>
    <col min="247" max="247" width="23.734375" style="336" customWidth="1"/>
    <col min="248" max="248" width="16.44921875" style="336" customWidth="1"/>
    <col min="249" max="249" width="15.640625" style="336" customWidth="1"/>
    <col min="250" max="250" width="16.1796875" style="336" customWidth="1"/>
    <col min="251" max="251" width="17.125" style="336" customWidth="1"/>
    <col min="252" max="252" width="15.1015625" style="336" customWidth="1"/>
    <col min="253" max="253" width="6.47265625" style="336" customWidth="1"/>
    <col min="254" max="254" width="15.1015625" style="336" customWidth="1"/>
    <col min="255" max="500" width="9.16796875" style="336"/>
    <col min="501" max="501" width="13.75390625" style="336" customWidth="1"/>
    <col min="502" max="502" width="7.953125" style="336" customWidth="1"/>
    <col min="503" max="503" width="23.734375" style="336" customWidth="1"/>
    <col min="504" max="504" width="16.44921875" style="336" customWidth="1"/>
    <col min="505" max="505" width="15.640625" style="336" customWidth="1"/>
    <col min="506" max="506" width="16.1796875" style="336" customWidth="1"/>
    <col min="507" max="507" width="17.125" style="336" customWidth="1"/>
    <col min="508" max="508" width="15.1015625" style="336" customWidth="1"/>
    <col min="509" max="509" width="6.47265625" style="336" customWidth="1"/>
    <col min="510" max="510" width="15.1015625" style="336" customWidth="1"/>
    <col min="511" max="756" width="9.16796875" style="336"/>
    <col min="757" max="757" width="13.75390625" style="336" customWidth="1"/>
    <col min="758" max="758" width="7.953125" style="336" customWidth="1"/>
    <col min="759" max="759" width="23.734375" style="336" customWidth="1"/>
    <col min="760" max="760" width="16.44921875" style="336" customWidth="1"/>
    <col min="761" max="761" width="15.640625" style="336" customWidth="1"/>
    <col min="762" max="762" width="16.1796875" style="336" customWidth="1"/>
    <col min="763" max="763" width="17.125" style="336" customWidth="1"/>
    <col min="764" max="764" width="15.1015625" style="336" customWidth="1"/>
    <col min="765" max="765" width="6.47265625" style="336" customWidth="1"/>
    <col min="766" max="766" width="15.1015625" style="336" customWidth="1"/>
    <col min="767" max="1012" width="9.16796875" style="336"/>
    <col min="1013" max="1013" width="13.75390625" style="336" customWidth="1"/>
    <col min="1014" max="1014" width="7.953125" style="336" customWidth="1"/>
    <col min="1015" max="1015" width="23.734375" style="336" customWidth="1"/>
    <col min="1016" max="1016" width="16.44921875" style="336" customWidth="1"/>
    <col min="1017" max="1017" width="15.640625" style="336" customWidth="1"/>
    <col min="1018" max="1018" width="16.1796875" style="336" customWidth="1"/>
    <col min="1019" max="1019" width="17.125" style="336" customWidth="1"/>
    <col min="1020" max="1020" width="15.1015625" style="336" customWidth="1"/>
    <col min="1021" max="1021" width="6.47265625" style="336" customWidth="1"/>
    <col min="1022" max="1022" width="15.1015625" style="336" customWidth="1"/>
    <col min="1023" max="1268" width="9.16796875" style="336"/>
    <col min="1269" max="1269" width="13.75390625" style="336" customWidth="1"/>
    <col min="1270" max="1270" width="7.953125" style="336" customWidth="1"/>
    <col min="1271" max="1271" width="23.734375" style="336" customWidth="1"/>
    <col min="1272" max="1272" width="16.44921875" style="336" customWidth="1"/>
    <col min="1273" max="1273" width="15.640625" style="336" customWidth="1"/>
    <col min="1274" max="1274" width="16.1796875" style="336" customWidth="1"/>
    <col min="1275" max="1275" width="17.125" style="336" customWidth="1"/>
    <col min="1276" max="1276" width="15.1015625" style="336" customWidth="1"/>
    <col min="1277" max="1277" width="6.47265625" style="336" customWidth="1"/>
    <col min="1278" max="1278" width="15.1015625" style="336" customWidth="1"/>
    <col min="1279" max="1524" width="9.16796875" style="336"/>
    <col min="1525" max="1525" width="13.75390625" style="336" customWidth="1"/>
    <col min="1526" max="1526" width="7.953125" style="336" customWidth="1"/>
    <col min="1527" max="1527" width="23.734375" style="336" customWidth="1"/>
    <col min="1528" max="1528" width="16.44921875" style="336" customWidth="1"/>
    <col min="1529" max="1529" width="15.640625" style="336" customWidth="1"/>
    <col min="1530" max="1530" width="16.1796875" style="336" customWidth="1"/>
    <col min="1531" max="1531" width="17.125" style="336" customWidth="1"/>
    <col min="1532" max="1532" width="15.1015625" style="336" customWidth="1"/>
    <col min="1533" max="1533" width="6.47265625" style="336" customWidth="1"/>
    <col min="1534" max="1534" width="15.1015625" style="336" customWidth="1"/>
    <col min="1535" max="1780" width="9.16796875" style="336"/>
    <col min="1781" max="1781" width="13.75390625" style="336" customWidth="1"/>
    <col min="1782" max="1782" width="7.953125" style="336" customWidth="1"/>
    <col min="1783" max="1783" width="23.734375" style="336" customWidth="1"/>
    <col min="1784" max="1784" width="16.44921875" style="336" customWidth="1"/>
    <col min="1785" max="1785" width="15.640625" style="336" customWidth="1"/>
    <col min="1786" max="1786" width="16.1796875" style="336" customWidth="1"/>
    <col min="1787" max="1787" width="17.125" style="336" customWidth="1"/>
    <col min="1788" max="1788" width="15.1015625" style="336" customWidth="1"/>
    <col min="1789" max="1789" width="6.47265625" style="336" customWidth="1"/>
    <col min="1790" max="1790" width="15.1015625" style="336" customWidth="1"/>
    <col min="1791" max="2036" width="9.16796875" style="336"/>
    <col min="2037" max="2037" width="13.75390625" style="336" customWidth="1"/>
    <col min="2038" max="2038" width="7.953125" style="336" customWidth="1"/>
    <col min="2039" max="2039" width="23.734375" style="336" customWidth="1"/>
    <col min="2040" max="2040" width="16.44921875" style="336" customWidth="1"/>
    <col min="2041" max="2041" width="15.640625" style="336" customWidth="1"/>
    <col min="2042" max="2042" width="16.1796875" style="336" customWidth="1"/>
    <col min="2043" max="2043" width="17.125" style="336" customWidth="1"/>
    <col min="2044" max="2044" width="15.1015625" style="336" customWidth="1"/>
    <col min="2045" max="2045" width="6.47265625" style="336" customWidth="1"/>
    <col min="2046" max="2046" width="15.1015625" style="336" customWidth="1"/>
    <col min="2047" max="2292" width="9.16796875" style="336"/>
    <col min="2293" max="2293" width="13.75390625" style="336" customWidth="1"/>
    <col min="2294" max="2294" width="7.953125" style="336" customWidth="1"/>
    <col min="2295" max="2295" width="23.734375" style="336" customWidth="1"/>
    <col min="2296" max="2296" width="16.44921875" style="336" customWidth="1"/>
    <col min="2297" max="2297" width="15.640625" style="336" customWidth="1"/>
    <col min="2298" max="2298" width="16.1796875" style="336" customWidth="1"/>
    <col min="2299" max="2299" width="17.125" style="336" customWidth="1"/>
    <col min="2300" max="2300" width="15.1015625" style="336" customWidth="1"/>
    <col min="2301" max="2301" width="6.47265625" style="336" customWidth="1"/>
    <col min="2302" max="2302" width="15.1015625" style="336" customWidth="1"/>
    <col min="2303" max="2548" width="9.16796875" style="336"/>
    <col min="2549" max="2549" width="13.75390625" style="336" customWidth="1"/>
    <col min="2550" max="2550" width="7.953125" style="336" customWidth="1"/>
    <col min="2551" max="2551" width="23.734375" style="336" customWidth="1"/>
    <col min="2552" max="2552" width="16.44921875" style="336" customWidth="1"/>
    <col min="2553" max="2553" width="15.640625" style="336" customWidth="1"/>
    <col min="2554" max="2554" width="16.1796875" style="336" customWidth="1"/>
    <col min="2555" max="2555" width="17.125" style="336" customWidth="1"/>
    <col min="2556" max="2556" width="15.1015625" style="336" customWidth="1"/>
    <col min="2557" max="2557" width="6.47265625" style="336" customWidth="1"/>
    <col min="2558" max="2558" width="15.1015625" style="336" customWidth="1"/>
    <col min="2559" max="2804" width="9.16796875" style="336"/>
    <col min="2805" max="2805" width="13.75390625" style="336" customWidth="1"/>
    <col min="2806" max="2806" width="7.953125" style="336" customWidth="1"/>
    <col min="2807" max="2807" width="23.734375" style="336" customWidth="1"/>
    <col min="2808" max="2808" width="16.44921875" style="336" customWidth="1"/>
    <col min="2809" max="2809" width="15.640625" style="336" customWidth="1"/>
    <col min="2810" max="2810" width="16.1796875" style="336" customWidth="1"/>
    <col min="2811" max="2811" width="17.125" style="336" customWidth="1"/>
    <col min="2812" max="2812" width="15.1015625" style="336" customWidth="1"/>
    <col min="2813" max="2813" width="6.47265625" style="336" customWidth="1"/>
    <col min="2814" max="2814" width="15.1015625" style="336" customWidth="1"/>
    <col min="2815" max="3060" width="9.16796875" style="336"/>
    <col min="3061" max="3061" width="13.75390625" style="336" customWidth="1"/>
    <col min="3062" max="3062" width="7.953125" style="336" customWidth="1"/>
    <col min="3063" max="3063" width="23.734375" style="336" customWidth="1"/>
    <col min="3064" max="3064" width="16.44921875" style="336" customWidth="1"/>
    <col min="3065" max="3065" width="15.640625" style="336" customWidth="1"/>
    <col min="3066" max="3066" width="16.1796875" style="336" customWidth="1"/>
    <col min="3067" max="3067" width="17.125" style="336" customWidth="1"/>
    <col min="3068" max="3068" width="15.1015625" style="336" customWidth="1"/>
    <col min="3069" max="3069" width="6.47265625" style="336" customWidth="1"/>
    <col min="3070" max="3070" width="15.1015625" style="336" customWidth="1"/>
    <col min="3071" max="3316" width="9.16796875" style="336"/>
    <col min="3317" max="3317" width="13.75390625" style="336" customWidth="1"/>
    <col min="3318" max="3318" width="7.953125" style="336" customWidth="1"/>
    <col min="3319" max="3319" width="23.734375" style="336" customWidth="1"/>
    <col min="3320" max="3320" width="16.44921875" style="336" customWidth="1"/>
    <col min="3321" max="3321" width="15.640625" style="336" customWidth="1"/>
    <col min="3322" max="3322" width="16.1796875" style="336" customWidth="1"/>
    <col min="3323" max="3323" width="17.125" style="336" customWidth="1"/>
    <col min="3324" max="3324" width="15.1015625" style="336" customWidth="1"/>
    <col min="3325" max="3325" width="6.47265625" style="336" customWidth="1"/>
    <col min="3326" max="3326" width="15.1015625" style="336" customWidth="1"/>
    <col min="3327" max="3572" width="9.16796875" style="336"/>
    <col min="3573" max="3573" width="13.75390625" style="336" customWidth="1"/>
    <col min="3574" max="3574" width="7.953125" style="336" customWidth="1"/>
    <col min="3575" max="3575" width="23.734375" style="336" customWidth="1"/>
    <col min="3576" max="3576" width="16.44921875" style="336" customWidth="1"/>
    <col min="3577" max="3577" width="15.640625" style="336" customWidth="1"/>
    <col min="3578" max="3578" width="16.1796875" style="336" customWidth="1"/>
    <col min="3579" max="3579" width="17.125" style="336" customWidth="1"/>
    <col min="3580" max="3580" width="15.1015625" style="336" customWidth="1"/>
    <col min="3581" max="3581" width="6.47265625" style="336" customWidth="1"/>
    <col min="3582" max="3582" width="15.1015625" style="336" customWidth="1"/>
    <col min="3583" max="3828" width="9.16796875" style="336"/>
    <col min="3829" max="3829" width="13.75390625" style="336" customWidth="1"/>
    <col min="3830" max="3830" width="7.953125" style="336" customWidth="1"/>
    <col min="3831" max="3831" width="23.734375" style="336" customWidth="1"/>
    <col min="3832" max="3832" width="16.44921875" style="336" customWidth="1"/>
    <col min="3833" max="3833" width="15.640625" style="336" customWidth="1"/>
    <col min="3834" max="3834" width="16.1796875" style="336" customWidth="1"/>
    <col min="3835" max="3835" width="17.125" style="336" customWidth="1"/>
    <col min="3836" max="3836" width="15.1015625" style="336" customWidth="1"/>
    <col min="3837" max="3837" width="6.47265625" style="336" customWidth="1"/>
    <col min="3838" max="3838" width="15.1015625" style="336" customWidth="1"/>
    <col min="3839" max="4084" width="9.16796875" style="336"/>
    <col min="4085" max="4085" width="13.75390625" style="336" customWidth="1"/>
    <col min="4086" max="4086" width="7.953125" style="336" customWidth="1"/>
    <col min="4087" max="4087" width="23.734375" style="336" customWidth="1"/>
    <col min="4088" max="4088" width="16.44921875" style="336" customWidth="1"/>
    <col min="4089" max="4089" width="15.640625" style="336" customWidth="1"/>
    <col min="4090" max="4090" width="16.1796875" style="336" customWidth="1"/>
    <col min="4091" max="4091" width="17.125" style="336" customWidth="1"/>
    <col min="4092" max="4092" width="15.1015625" style="336" customWidth="1"/>
    <col min="4093" max="4093" width="6.47265625" style="336" customWidth="1"/>
    <col min="4094" max="4094" width="15.1015625" style="336" customWidth="1"/>
    <col min="4095" max="4340" width="9.16796875" style="336"/>
    <col min="4341" max="4341" width="13.75390625" style="336" customWidth="1"/>
    <col min="4342" max="4342" width="7.953125" style="336" customWidth="1"/>
    <col min="4343" max="4343" width="23.734375" style="336" customWidth="1"/>
    <col min="4344" max="4344" width="16.44921875" style="336" customWidth="1"/>
    <col min="4345" max="4345" width="15.640625" style="336" customWidth="1"/>
    <col min="4346" max="4346" width="16.1796875" style="336" customWidth="1"/>
    <col min="4347" max="4347" width="17.125" style="336" customWidth="1"/>
    <col min="4348" max="4348" width="15.1015625" style="336" customWidth="1"/>
    <col min="4349" max="4349" width="6.47265625" style="336" customWidth="1"/>
    <col min="4350" max="4350" width="15.1015625" style="336" customWidth="1"/>
    <col min="4351" max="4596" width="9.16796875" style="336"/>
    <col min="4597" max="4597" width="13.75390625" style="336" customWidth="1"/>
    <col min="4598" max="4598" width="7.953125" style="336" customWidth="1"/>
    <col min="4599" max="4599" width="23.734375" style="336" customWidth="1"/>
    <col min="4600" max="4600" width="16.44921875" style="336" customWidth="1"/>
    <col min="4601" max="4601" width="15.640625" style="336" customWidth="1"/>
    <col min="4602" max="4602" width="16.1796875" style="336" customWidth="1"/>
    <col min="4603" max="4603" width="17.125" style="336" customWidth="1"/>
    <col min="4604" max="4604" width="15.1015625" style="336" customWidth="1"/>
    <col min="4605" max="4605" width="6.47265625" style="336" customWidth="1"/>
    <col min="4606" max="4606" width="15.1015625" style="336" customWidth="1"/>
    <col min="4607" max="4852" width="9.16796875" style="336"/>
    <col min="4853" max="4853" width="13.75390625" style="336" customWidth="1"/>
    <col min="4854" max="4854" width="7.953125" style="336" customWidth="1"/>
    <col min="4855" max="4855" width="23.734375" style="336" customWidth="1"/>
    <col min="4856" max="4856" width="16.44921875" style="336" customWidth="1"/>
    <col min="4857" max="4857" width="15.640625" style="336" customWidth="1"/>
    <col min="4858" max="4858" width="16.1796875" style="336" customWidth="1"/>
    <col min="4859" max="4859" width="17.125" style="336" customWidth="1"/>
    <col min="4860" max="4860" width="15.1015625" style="336" customWidth="1"/>
    <col min="4861" max="4861" width="6.47265625" style="336" customWidth="1"/>
    <col min="4862" max="4862" width="15.1015625" style="336" customWidth="1"/>
    <col min="4863" max="5108" width="9.16796875" style="336"/>
    <col min="5109" max="5109" width="13.75390625" style="336" customWidth="1"/>
    <col min="5110" max="5110" width="7.953125" style="336" customWidth="1"/>
    <col min="5111" max="5111" width="23.734375" style="336" customWidth="1"/>
    <col min="5112" max="5112" width="16.44921875" style="336" customWidth="1"/>
    <col min="5113" max="5113" width="15.640625" style="336" customWidth="1"/>
    <col min="5114" max="5114" width="16.1796875" style="336" customWidth="1"/>
    <col min="5115" max="5115" width="17.125" style="336" customWidth="1"/>
    <col min="5116" max="5116" width="15.1015625" style="336" customWidth="1"/>
    <col min="5117" max="5117" width="6.47265625" style="336" customWidth="1"/>
    <col min="5118" max="5118" width="15.1015625" style="336" customWidth="1"/>
    <col min="5119" max="5364" width="9.16796875" style="336"/>
    <col min="5365" max="5365" width="13.75390625" style="336" customWidth="1"/>
    <col min="5366" max="5366" width="7.953125" style="336" customWidth="1"/>
    <col min="5367" max="5367" width="23.734375" style="336" customWidth="1"/>
    <col min="5368" max="5368" width="16.44921875" style="336" customWidth="1"/>
    <col min="5369" max="5369" width="15.640625" style="336" customWidth="1"/>
    <col min="5370" max="5370" width="16.1796875" style="336" customWidth="1"/>
    <col min="5371" max="5371" width="17.125" style="336" customWidth="1"/>
    <col min="5372" max="5372" width="15.1015625" style="336" customWidth="1"/>
    <col min="5373" max="5373" width="6.47265625" style="336" customWidth="1"/>
    <col min="5374" max="5374" width="15.1015625" style="336" customWidth="1"/>
    <col min="5375" max="5620" width="9.16796875" style="336"/>
    <col min="5621" max="5621" width="13.75390625" style="336" customWidth="1"/>
    <col min="5622" max="5622" width="7.953125" style="336" customWidth="1"/>
    <col min="5623" max="5623" width="23.734375" style="336" customWidth="1"/>
    <col min="5624" max="5624" width="16.44921875" style="336" customWidth="1"/>
    <col min="5625" max="5625" width="15.640625" style="336" customWidth="1"/>
    <col min="5626" max="5626" width="16.1796875" style="336" customWidth="1"/>
    <col min="5627" max="5627" width="17.125" style="336" customWidth="1"/>
    <col min="5628" max="5628" width="15.1015625" style="336" customWidth="1"/>
    <col min="5629" max="5629" width="6.47265625" style="336" customWidth="1"/>
    <col min="5630" max="5630" width="15.1015625" style="336" customWidth="1"/>
    <col min="5631" max="5876" width="9.16796875" style="336"/>
    <col min="5877" max="5877" width="13.75390625" style="336" customWidth="1"/>
    <col min="5878" max="5878" width="7.953125" style="336" customWidth="1"/>
    <col min="5879" max="5879" width="23.734375" style="336" customWidth="1"/>
    <col min="5880" max="5880" width="16.44921875" style="336" customWidth="1"/>
    <col min="5881" max="5881" width="15.640625" style="336" customWidth="1"/>
    <col min="5882" max="5882" width="16.1796875" style="336" customWidth="1"/>
    <col min="5883" max="5883" width="17.125" style="336" customWidth="1"/>
    <col min="5884" max="5884" width="15.1015625" style="336" customWidth="1"/>
    <col min="5885" max="5885" width="6.47265625" style="336" customWidth="1"/>
    <col min="5886" max="5886" width="15.1015625" style="336" customWidth="1"/>
    <col min="5887" max="6132" width="9.16796875" style="336"/>
    <col min="6133" max="6133" width="13.75390625" style="336" customWidth="1"/>
    <col min="6134" max="6134" width="7.953125" style="336" customWidth="1"/>
    <col min="6135" max="6135" width="23.734375" style="336" customWidth="1"/>
    <col min="6136" max="6136" width="16.44921875" style="336" customWidth="1"/>
    <col min="6137" max="6137" width="15.640625" style="336" customWidth="1"/>
    <col min="6138" max="6138" width="16.1796875" style="336" customWidth="1"/>
    <col min="6139" max="6139" width="17.125" style="336" customWidth="1"/>
    <col min="6140" max="6140" width="15.1015625" style="336" customWidth="1"/>
    <col min="6141" max="6141" width="6.47265625" style="336" customWidth="1"/>
    <col min="6142" max="6142" width="15.1015625" style="336" customWidth="1"/>
    <col min="6143" max="6388" width="9.16796875" style="336"/>
    <col min="6389" max="6389" width="13.75390625" style="336" customWidth="1"/>
    <col min="6390" max="6390" width="7.953125" style="336" customWidth="1"/>
    <col min="6391" max="6391" width="23.734375" style="336" customWidth="1"/>
    <col min="6392" max="6392" width="16.44921875" style="336" customWidth="1"/>
    <col min="6393" max="6393" width="15.640625" style="336" customWidth="1"/>
    <col min="6394" max="6394" width="16.1796875" style="336" customWidth="1"/>
    <col min="6395" max="6395" width="17.125" style="336" customWidth="1"/>
    <col min="6396" max="6396" width="15.1015625" style="336" customWidth="1"/>
    <col min="6397" max="6397" width="6.47265625" style="336" customWidth="1"/>
    <col min="6398" max="6398" width="15.1015625" style="336" customWidth="1"/>
    <col min="6399" max="6644" width="9.16796875" style="336"/>
    <col min="6645" max="6645" width="13.75390625" style="336" customWidth="1"/>
    <col min="6646" max="6646" width="7.953125" style="336" customWidth="1"/>
    <col min="6647" max="6647" width="23.734375" style="336" customWidth="1"/>
    <col min="6648" max="6648" width="16.44921875" style="336" customWidth="1"/>
    <col min="6649" max="6649" width="15.640625" style="336" customWidth="1"/>
    <col min="6650" max="6650" width="16.1796875" style="336" customWidth="1"/>
    <col min="6651" max="6651" width="17.125" style="336" customWidth="1"/>
    <col min="6652" max="6652" width="15.1015625" style="336" customWidth="1"/>
    <col min="6653" max="6653" width="6.47265625" style="336" customWidth="1"/>
    <col min="6654" max="6654" width="15.1015625" style="336" customWidth="1"/>
    <col min="6655" max="6900" width="9.16796875" style="336"/>
    <col min="6901" max="6901" width="13.75390625" style="336" customWidth="1"/>
    <col min="6902" max="6902" width="7.953125" style="336" customWidth="1"/>
    <col min="6903" max="6903" width="23.734375" style="336" customWidth="1"/>
    <col min="6904" max="6904" width="16.44921875" style="336" customWidth="1"/>
    <col min="6905" max="6905" width="15.640625" style="336" customWidth="1"/>
    <col min="6906" max="6906" width="16.1796875" style="336" customWidth="1"/>
    <col min="6907" max="6907" width="17.125" style="336" customWidth="1"/>
    <col min="6908" max="6908" width="15.1015625" style="336" customWidth="1"/>
    <col min="6909" max="6909" width="6.47265625" style="336" customWidth="1"/>
    <col min="6910" max="6910" width="15.1015625" style="336" customWidth="1"/>
    <col min="6911" max="7156" width="9.16796875" style="336"/>
    <col min="7157" max="7157" width="13.75390625" style="336" customWidth="1"/>
    <col min="7158" max="7158" width="7.953125" style="336" customWidth="1"/>
    <col min="7159" max="7159" width="23.734375" style="336" customWidth="1"/>
    <col min="7160" max="7160" width="16.44921875" style="336" customWidth="1"/>
    <col min="7161" max="7161" width="15.640625" style="336" customWidth="1"/>
    <col min="7162" max="7162" width="16.1796875" style="336" customWidth="1"/>
    <col min="7163" max="7163" width="17.125" style="336" customWidth="1"/>
    <col min="7164" max="7164" width="15.1015625" style="336" customWidth="1"/>
    <col min="7165" max="7165" width="6.47265625" style="336" customWidth="1"/>
    <col min="7166" max="7166" width="15.1015625" style="336" customWidth="1"/>
    <col min="7167" max="7412" width="9.16796875" style="336"/>
    <col min="7413" max="7413" width="13.75390625" style="336" customWidth="1"/>
    <col min="7414" max="7414" width="7.953125" style="336" customWidth="1"/>
    <col min="7415" max="7415" width="23.734375" style="336" customWidth="1"/>
    <col min="7416" max="7416" width="16.44921875" style="336" customWidth="1"/>
    <col min="7417" max="7417" width="15.640625" style="336" customWidth="1"/>
    <col min="7418" max="7418" width="16.1796875" style="336" customWidth="1"/>
    <col min="7419" max="7419" width="17.125" style="336" customWidth="1"/>
    <col min="7420" max="7420" width="15.1015625" style="336" customWidth="1"/>
    <col min="7421" max="7421" width="6.47265625" style="336" customWidth="1"/>
    <col min="7422" max="7422" width="15.1015625" style="336" customWidth="1"/>
    <col min="7423" max="7668" width="9.16796875" style="336"/>
    <col min="7669" max="7669" width="13.75390625" style="336" customWidth="1"/>
    <col min="7670" max="7670" width="7.953125" style="336" customWidth="1"/>
    <col min="7671" max="7671" width="23.734375" style="336" customWidth="1"/>
    <col min="7672" max="7672" width="16.44921875" style="336" customWidth="1"/>
    <col min="7673" max="7673" width="15.640625" style="336" customWidth="1"/>
    <col min="7674" max="7674" width="16.1796875" style="336" customWidth="1"/>
    <col min="7675" max="7675" width="17.125" style="336" customWidth="1"/>
    <col min="7676" max="7676" width="15.1015625" style="336" customWidth="1"/>
    <col min="7677" max="7677" width="6.47265625" style="336" customWidth="1"/>
    <col min="7678" max="7678" width="15.1015625" style="336" customWidth="1"/>
    <col min="7679" max="7924" width="9.16796875" style="336"/>
    <col min="7925" max="7925" width="13.75390625" style="336" customWidth="1"/>
    <col min="7926" max="7926" width="7.953125" style="336" customWidth="1"/>
    <col min="7927" max="7927" width="23.734375" style="336" customWidth="1"/>
    <col min="7928" max="7928" width="16.44921875" style="336" customWidth="1"/>
    <col min="7929" max="7929" width="15.640625" style="336" customWidth="1"/>
    <col min="7930" max="7930" width="16.1796875" style="336" customWidth="1"/>
    <col min="7931" max="7931" width="17.125" style="336" customWidth="1"/>
    <col min="7932" max="7932" width="15.1015625" style="336" customWidth="1"/>
    <col min="7933" max="7933" width="6.47265625" style="336" customWidth="1"/>
    <col min="7934" max="7934" width="15.1015625" style="336" customWidth="1"/>
    <col min="7935" max="8180" width="9.16796875" style="336"/>
    <col min="8181" max="8181" width="13.75390625" style="336" customWidth="1"/>
    <col min="8182" max="8182" width="7.953125" style="336" customWidth="1"/>
    <col min="8183" max="8183" width="23.734375" style="336" customWidth="1"/>
    <col min="8184" max="8184" width="16.44921875" style="336" customWidth="1"/>
    <col min="8185" max="8185" width="15.640625" style="336" customWidth="1"/>
    <col min="8186" max="8186" width="16.1796875" style="336" customWidth="1"/>
    <col min="8187" max="8187" width="17.125" style="336" customWidth="1"/>
    <col min="8188" max="8188" width="15.1015625" style="336" customWidth="1"/>
    <col min="8189" max="8189" width="6.47265625" style="336" customWidth="1"/>
    <col min="8190" max="8190" width="15.1015625" style="336" customWidth="1"/>
    <col min="8191" max="8436" width="9.16796875" style="336"/>
    <col min="8437" max="8437" width="13.75390625" style="336" customWidth="1"/>
    <col min="8438" max="8438" width="7.953125" style="336" customWidth="1"/>
    <col min="8439" max="8439" width="23.734375" style="336" customWidth="1"/>
    <col min="8440" max="8440" width="16.44921875" style="336" customWidth="1"/>
    <col min="8441" max="8441" width="15.640625" style="336" customWidth="1"/>
    <col min="8442" max="8442" width="16.1796875" style="336" customWidth="1"/>
    <col min="8443" max="8443" width="17.125" style="336" customWidth="1"/>
    <col min="8444" max="8444" width="15.1015625" style="336" customWidth="1"/>
    <col min="8445" max="8445" width="6.47265625" style="336" customWidth="1"/>
    <col min="8446" max="8446" width="15.1015625" style="336" customWidth="1"/>
    <col min="8447" max="8692" width="9.16796875" style="336"/>
    <col min="8693" max="8693" width="13.75390625" style="336" customWidth="1"/>
    <col min="8694" max="8694" width="7.953125" style="336" customWidth="1"/>
    <col min="8695" max="8695" width="23.734375" style="336" customWidth="1"/>
    <col min="8696" max="8696" width="16.44921875" style="336" customWidth="1"/>
    <col min="8697" max="8697" width="15.640625" style="336" customWidth="1"/>
    <col min="8698" max="8698" width="16.1796875" style="336" customWidth="1"/>
    <col min="8699" max="8699" width="17.125" style="336" customWidth="1"/>
    <col min="8700" max="8700" width="15.1015625" style="336" customWidth="1"/>
    <col min="8701" max="8701" width="6.47265625" style="336" customWidth="1"/>
    <col min="8702" max="8702" width="15.1015625" style="336" customWidth="1"/>
    <col min="8703" max="8948" width="9.16796875" style="336"/>
    <col min="8949" max="8949" width="13.75390625" style="336" customWidth="1"/>
    <col min="8950" max="8950" width="7.953125" style="336" customWidth="1"/>
    <col min="8951" max="8951" width="23.734375" style="336" customWidth="1"/>
    <col min="8952" max="8952" width="16.44921875" style="336" customWidth="1"/>
    <col min="8953" max="8953" width="15.640625" style="336" customWidth="1"/>
    <col min="8954" max="8954" width="16.1796875" style="336" customWidth="1"/>
    <col min="8955" max="8955" width="17.125" style="336" customWidth="1"/>
    <col min="8956" max="8956" width="15.1015625" style="336" customWidth="1"/>
    <col min="8957" max="8957" width="6.47265625" style="336" customWidth="1"/>
    <col min="8958" max="8958" width="15.1015625" style="336" customWidth="1"/>
    <col min="8959" max="9204" width="9.16796875" style="336"/>
    <col min="9205" max="9205" width="13.75390625" style="336" customWidth="1"/>
    <col min="9206" max="9206" width="7.953125" style="336" customWidth="1"/>
    <col min="9207" max="9207" width="23.734375" style="336" customWidth="1"/>
    <col min="9208" max="9208" width="16.44921875" style="336" customWidth="1"/>
    <col min="9209" max="9209" width="15.640625" style="336" customWidth="1"/>
    <col min="9210" max="9210" width="16.1796875" style="336" customWidth="1"/>
    <col min="9211" max="9211" width="17.125" style="336" customWidth="1"/>
    <col min="9212" max="9212" width="15.1015625" style="336" customWidth="1"/>
    <col min="9213" max="9213" width="6.47265625" style="336" customWidth="1"/>
    <col min="9214" max="9214" width="15.1015625" style="336" customWidth="1"/>
    <col min="9215" max="9460" width="9.16796875" style="336"/>
    <col min="9461" max="9461" width="13.75390625" style="336" customWidth="1"/>
    <col min="9462" max="9462" width="7.953125" style="336" customWidth="1"/>
    <col min="9463" max="9463" width="23.734375" style="336" customWidth="1"/>
    <col min="9464" max="9464" width="16.44921875" style="336" customWidth="1"/>
    <col min="9465" max="9465" width="15.640625" style="336" customWidth="1"/>
    <col min="9466" max="9466" width="16.1796875" style="336" customWidth="1"/>
    <col min="9467" max="9467" width="17.125" style="336" customWidth="1"/>
    <col min="9468" max="9468" width="15.1015625" style="336" customWidth="1"/>
    <col min="9469" max="9469" width="6.47265625" style="336" customWidth="1"/>
    <col min="9470" max="9470" width="15.1015625" style="336" customWidth="1"/>
    <col min="9471" max="9716" width="9.16796875" style="336"/>
    <col min="9717" max="9717" width="13.75390625" style="336" customWidth="1"/>
    <col min="9718" max="9718" width="7.953125" style="336" customWidth="1"/>
    <col min="9719" max="9719" width="23.734375" style="336" customWidth="1"/>
    <col min="9720" max="9720" width="16.44921875" style="336" customWidth="1"/>
    <col min="9721" max="9721" width="15.640625" style="336" customWidth="1"/>
    <col min="9722" max="9722" width="16.1796875" style="336" customWidth="1"/>
    <col min="9723" max="9723" width="17.125" style="336" customWidth="1"/>
    <col min="9724" max="9724" width="15.1015625" style="336" customWidth="1"/>
    <col min="9725" max="9725" width="6.47265625" style="336" customWidth="1"/>
    <col min="9726" max="9726" width="15.1015625" style="336" customWidth="1"/>
    <col min="9727" max="9972" width="9.16796875" style="336"/>
    <col min="9973" max="9973" width="13.75390625" style="336" customWidth="1"/>
    <col min="9974" max="9974" width="7.953125" style="336" customWidth="1"/>
    <col min="9975" max="9975" width="23.734375" style="336" customWidth="1"/>
    <col min="9976" max="9976" width="16.44921875" style="336" customWidth="1"/>
    <col min="9977" max="9977" width="15.640625" style="336" customWidth="1"/>
    <col min="9978" max="9978" width="16.1796875" style="336" customWidth="1"/>
    <col min="9979" max="9979" width="17.125" style="336" customWidth="1"/>
    <col min="9980" max="9980" width="15.1015625" style="336" customWidth="1"/>
    <col min="9981" max="9981" width="6.47265625" style="336" customWidth="1"/>
    <col min="9982" max="9982" width="15.1015625" style="336" customWidth="1"/>
    <col min="9983" max="10228" width="9.16796875" style="336"/>
    <col min="10229" max="10229" width="13.75390625" style="336" customWidth="1"/>
    <col min="10230" max="10230" width="7.953125" style="336" customWidth="1"/>
    <col min="10231" max="10231" width="23.734375" style="336" customWidth="1"/>
    <col min="10232" max="10232" width="16.44921875" style="336" customWidth="1"/>
    <col min="10233" max="10233" width="15.640625" style="336" customWidth="1"/>
    <col min="10234" max="10234" width="16.1796875" style="336" customWidth="1"/>
    <col min="10235" max="10235" width="17.125" style="336" customWidth="1"/>
    <col min="10236" max="10236" width="15.1015625" style="336" customWidth="1"/>
    <col min="10237" max="10237" width="6.47265625" style="336" customWidth="1"/>
    <col min="10238" max="10238" width="15.1015625" style="336" customWidth="1"/>
    <col min="10239" max="10484" width="9.16796875" style="336"/>
    <col min="10485" max="10485" width="13.75390625" style="336" customWidth="1"/>
    <col min="10486" max="10486" width="7.953125" style="336" customWidth="1"/>
    <col min="10487" max="10487" width="23.734375" style="336" customWidth="1"/>
    <col min="10488" max="10488" width="16.44921875" style="336" customWidth="1"/>
    <col min="10489" max="10489" width="15.640625" style="336" customWidth="1"/>
    <col min="10490" max="10490" width="16.1796875" style="336" customWidth="1"/>
    <col min="10491" max="10491" width="17.125" style="336" customWidth="1"/>
    <col min="10492" max="10492" width="15.1015625" style="336" customWidth="1"/>
    <col min="10493" max="10493" width="6.47265625" style="336" customWidth="1"/>
    <col min="10494" max="10494" width="15.1015625" style="336" customWidth="1"/>
    <col min="10495" max="10740" width="9.16796875" style="336"/>
    <col min="10741" max="10741" width="13.75390625" style="336" customWidth="1"/>
    <col min="10742" max="10742" width="7.953125" style="336" customWidth="1"/>
    <col min="10743" max="10743" width="23.734375" style="336" customWidth="1"/>
    <col min="10744" max="10744" width="16.44921875" style="336" customWidth="1"/>
    <col min="10745" max="10745" width="15.640625" style="336" customWidth="1"/>
    <col min="10746" max="10746" width="16.1796875" style="336" customWidth="1"/>
    <col min="10747" max="10747" width="17.125" style="336" customWidth="1"/>
    <col min="10748" max="10748" width="15.1015625" style="336" customWidth="1"/>
    <col min="10749" max="10749" width="6.47265625" style="336" customWidth="1"/>
    <col min="10750" max="10750" width="15.1015625" style="336" customWidth="1"/>
    <col min="10751" max="10996" width="9.16796875" style="336"/>
    <col min="10997" max="10997" width="13.75390625" style="336" customWidth="1"/>
    <col min="10998" max="10998" width="7.953125" style="336" customWidth="1"/>
    <col min="10999" max="10999" width="23.734375" style="336" customWidth="1"/>
    <col min="11000" max="11000" width="16.44921875" style="336" customWidth="1"/>
    <col min="11001" max="11001" width="15.640625" style="336" customWidth="1"/>
    <col min="11002" max="11002" width="16.1796875" style="336" customWidth="1"/>
    <col min="11003" max="11003" width="17.125" style="336" customWidth="1"/>
    <col min="11004" max="11004" width="15.1015625" style="336" customWidth="1"/>
    <col min="11005" max="11005" width="6.47265625" style="336" customWidth="1"/>
    <col min="11006" max="11006" width="15.1015625" style="336" customWidth="1"/>
    <col min="11007" max="11252" width="9.16796875" style="336"/>
    <col min="11253" max="11253" width="13.75390625" style="336" customWidth="1"/>
    <col min="11254" max="11254" width="7.953125" style="336" customWidth="1"/>
    <col min="11255" max="11255" width="23.734375" style="336" customWidth="1"/>
    <col min="11256" max="11256" width="16.44921875" style="336" customWidth="1"/>
    <col min="11257" max="11257" width="15.640625" style="336" customWidth="1"/>
    <col min="11258" max="11258" width="16.1796875" style="336" customWidth="1"/>
    <col min="11259" max="11259" width="17.125" style="336" customWidth="1"/>
    <col min="11260" max="11260" width="15.1015625" style="336" customWidth="1"/>
    <col min="11261" max="11261" width="6.47265625" style="336" customWidth="1"/>
    <col min="11262" max="11262" width="15.1015625" style="336" customWidth="1"/>
    <col min="11263" max="11508" width="9.16796875" style="336"/>
    <col min="11509" max="11509" width="13.75390625" style="336" customWidth="1"/>
    <col min="11510" max="11510" width="7.953125" style="336" customWidth="1"/>
    <col min="11511" max="11511" width="23.734375" style="336" customWidth="1"/>
    <col min="11512" max="11512" width="16.44921875" style="336" customWidth="1"/>
    <col min="11513" max="11513" width="15.640625" style="336" customWidth="1"/>
    <col min="11514" max="11514" width="16.1796875" style="336" customWidth="1"/>
    <col min="11515" max="11515" width="17.125" style="336" customWidth="1"/>
    <col min="11516" max="11516" width="15.1015625" style="336" customWidth="1"/>
    <col min="11517" max="11517" width="6.47265625" style="336" customWidth="1"/>
    <col min="11518" max="11518" width="15.1015625" style="336" customWidth="1"/>
    <col min="11519" max="11764" width="9.16796875" style="336"/>
    <col min="11765" max="11765" width="13.75390625" style="336" customWidth="1"/>
    <col min="11766" max="11766" width="7.953125" style="336" customWidth="1"/>
    <col min="11767" max="11767" width="23.734375" style="336" customWidth="1"/>
    <col min="11768" max="11768" width="16.44921875" style="336" customWidth="1"/>
    <col min="11769" max="11769" width="15.640625" style="336" customWidth="1"/>
    <col min="11770" max="11770" width="16.1796875" style="336" customWidth="1"/>
    <col min="11771" max="11771" width="17.125" style="336" customWidth="1"/>
    <col min="11772" max="11772" width="15.1015625" style="336" customWidth="1"/>
    <col min="11773" max="11773" width="6.47265625" style="336" customWidth="1"/>
    <col min="11774" max="11774" width="15.1015625" style="336" customWidth="1"/>
    <col min="11775" max="12020" width="9.16796875" style="336"/>
    <col min="12021" max="12021" width="13.75390625" style="336" customWidth="1"/>
    <col min="12022" max="12022" width="7.953125" style="336" customWidth="1"/>
    <col min="12023" max="12023" width="23.734375" style="336" customWidth="1"/>
    <col min="12024" max="12024" width="16.44921875" style="336" customWidth="1"/>
    <col min="12025" max="12025" width="15.640625" style="336" customWidth="1"/>
    <col min="12026" max="12026" width="16.1796875" style="336" customWidth="1"/>
    <col min="12027" max="12027" width="17.125" style="336" customWidth="1"/>
    <col min="12028" max="12028" width="15.1015625" style="336" customWidth="1"/>
    <col min="12029" max="12029" width="6.47265625" style="336" customWidth="1"/>
    <col min="12030" max="12030" width="15.1015625" style="336" customWidth="1"/>
    <col min="12031" max="12276" width="9.16796875" style="336"/>
    <col min="12277" max="12277" width="13.75390625" style="336" customWidth="1"/>
    <col min="12278" max="12278" width="7.953125" style="336" customWidth="1"/>
    <col min="12279" max="12279" width="23.734375" style="336" customWidth="1"/>
    <col min="12280" max="12280" width="16.44921875" style="336" customWidth="1"/>
    <col min="12281" max="12281" width="15.640625" style="336" customWidth="1"/>
    <col min="12282" max="12282" width="16.1796875" style="336" customWidth="1"/>
    <col min="12283" max="12283" width="17.125" style="336" customWidth="1"/>
    <col min="12284" max="12284" width="15.1015625" style="336" customWidth="1"/>
    <col min="12285" max="12285" width="6.47265625" style="336" customWidth="1"/>
    <col min="12286" max="12286" width="15.1015625" style="336" customWidth="1"/>
    <col min="12287" max="12532" width="9.16796875" style="336"/>
    <col min="12533" max="12533" width="13.75390625" style="336" customWidth="1"/>
    <col min="12534" max="12534" width="7.953125" style="336" customWidth="1"/>
    <col min="12535" max="12535" width="23.734375" style="336" customWidth="1"/>
    <col min="12536" max="12536" width="16.44921875" style="336" customWidth="1"/>
    <col min="12537" max="12537" width="15.640625" style="336" customWidth="1"/>
    <col min="12538" max="12538" width="16.1796875" style="336" customWidth="1"/>
    <col min="12539" max="12539" width="17.125" style="336" customWidth="1"/>
    <col min="12540" max="12540" width="15.1015625" style="336" customWidth="1"/>
    <col min="12541" max="12541" width="6.47265625" style="336" customWidth="1"/>
    <col min="12542" max="12542" width="15.1015625" style="336" customWidth="1"/>
    <col min="12543" max="12788" width="9.16796875" style="336"/>
    <col min="12789" max="12789" width="13.75390625" style="336" customWidth="1"/>
    <col min="12790" max="12790" width="7.953125" style="336" customWidth="1"/>
    <col min="12791" max="12791" width="23.734375" style="336" customWidth="1"/>
    <col min="12792" max="12792" width="16.44921875" style="336" customWidth="1"/>
    <col min="12793" max="12793" width="15.640625" style="336" customWidth="1"/>
    <col min="12794" max="12794" width="16.1796875" style="336" customWidth="1"/>
    <col min="12795" max="12795" width="17.125" style="336" customWidth="1"/>
    <col min="12796" max="12796" width="15.1015625" style="336" customWidth="1"/>
    <col min="12797" max="12797" width="6.47265625" style="336" customWidth="1"/>
    <col min="12798" max="12798" width="15.1015625" style="336" customWidth="1"/>
    <col min="12799" max="13044" width="9.16796875" style="336"/>
    <col min="13045" max="13045" width="13.75390625" style="336" customWidth="1"/>
    <col min="13046" max="13046" width="7.953125" style="336" customWidth="1"/>
    <col min="13047" max="13047" width="23.734375" style="336" customWidth="1"/>
    <col min="13048" max="13048" width="16.44921875" style="336" customWidth="1"/>
    <col min="13049" max="13049" width="15.640625" style="336" customWidth="1"/>
    <col min="13050" max="13050" width="16.1796875" style="336" customWidth="1"/>
    <col min="13051" max="13051" width="17.125" style="336" customWidth="1"/>
    <col min="13052" max="13052" width="15.1015625" style="336" customWidth="1"/>
    <col min="13053" max="13053" width="6.47265625" style="336" customWidth="1"/>
    <col min="13054" max="13054" width="15.1015625" style="336" customWidth="1"/>
    <col min="13055" max="13300" width="9.16796875" style="336"/>
    <col min="13301" max="13301" width="13.75390625" style="336" customWidth="1"/>
    <col min="13302" max="13302" width="7.953125" style="336" customWidth="1"/>
    <col min="13303" max="13303" width="23.734375" style="336" customWidth="1"/>
    <col min="13304" max="13304" width="16.44921875" style="336" customWidth="1"/>
    <col min="13305" max="13305" width="15.640625" style="336" customWidth="1"/>
    <col min="13306" max="13306" width="16.1796875" style="336" customWidth="1"/>
    <col min="13307" max="13307" width="17.125" style="336" customWidth="1"/>
    <col min="13308" max="13308" width="15.1015625" style="336" customWidth="1"/>
    <col min="13309" max="13309" width="6.47265625" style="336" customWidth="1"/>
    <col min="13310" max="13310" width="15.1015625" style="336" customWidth="1"/>
    <col min="13311" max="13556" width="9.16796875" style="336"/>
    <col min="13557" max="13557" width="13.75390625" style="336" customWidth="1"/>
    <col min="13558" max="13558" width="7.953125" style="336" customWidth="1"/>
    <col min="13559" max="13559" width="23.734375" style="336" customWidth="1"/>
    <col min="13560" max="13560" width="16.44921875" style="336" customWidth="1"/>
    <col min="13561" max="13561" width="15.640625" style="336" customWidth="1"/>
    <col min="13562" max="13562" width="16.1796875" style="336" customWidth="1"/>
    <col min="13563" max="13563" width="17.125" style="336" customWidth="1"/>
    <col min="13564" max="13564" width="15.1015625" style="336" customWidth="1"/>
    <col min="13565" max="13565" width="6.47265625" style="336" customWidth="1"/>
    <col min="13566" max="13566" width="15.1015625" style="336" customWidth="1"/>
    <col min="13567" max="13812" width="9.16796875" style="336"/>
    <col min="13813" max="13813" width="13.75390625" style="336" customWidth="1"/>
    <col min="13814" max="13814" width="7.953125" style="336" customWidth="1"/>
    <col min="13815" max="13815" width="23.734375" style="336" customWidth="1"/>
    <col min="13816" max="13816" width="16.44921875" style="336" customWidth="1"/>
    <col min="13817" max="13817" width="15.640625" style="336" customWidth="1"/>
    <col min="13818" max="13818" width="16.1796875" style="336" customWidth="1"/>
    <col min="13819" max="13819" width="17.125" style="336" customWidth="1"/>
    <col min="13820" max="13820" width="15.1015625" style="336" customWidth="1"/>
    <col min="13821" max="13821" width="6.47265625" style="336" customWidth="1"/>
    <col min="13822" max="13822" width="15.1015625" style="336" customWidth="1"/>
    <col min="13823" max="14068" width="9.16796875" style="336"/>
    <col min="14069" max="14069" width="13.75390625" style="336" customWidth="1"/>
    <col min="14070" max="14070" width="7.953125" style="336" customWidth="1"/>
    <col min="14071" max="14071" width="23.734375" style="336" customWidth="1"/>
    <col min="14072" max="14072" width="16.44921875" style="336" customWidth="1"/>
    <col min="14073" max="14073" width="15.640625" style="336" customWidth="1"/>
    <col min="14074" max="14074" width="16.1796875" style="336" customWidth="1"/>
    <col min="14075" max="14075" width="17.125" style="336" customWidth="1"/>
    <col min="14076" max="14076" width="15.1015625" style="336" customWidth="1"/>
    <col min="14077" max="14077" width="6.47265625" style="336" customWidth="1"/>
    <col min="14078" max="14078" width="15.1015625" style="336" customWidth="1"/>
    <col min="14079" max="14324" width="9.16796875" style="336"/>
    <col min="14325" max="14325" width="13.75390625" style="336" customWidth="1"/>
    <col min="14326" max="14326" width="7.953125" style="336" customWidth="1"/>
    <col min="14327" max="14327" width="23.734375" style="336" customWidth="1"/>
    <col min="14328" max="14328" width="16.44921875" style="336" customWidth="1"/>
    <col min="14329" max="14329" width="15.640625" style="336" customWidth="1"/>
    <col min="14330" max="14330" width="16.1796875" style="336" customWidth="1"/>
    <col min="14331" max="14331" width="17.125" style="336" customWidth="1"/>
    <col min="14332" max="14332" width="15.1015625" style="336" customWidth="1"/>
    <col min="14333" max="14333" width="6.47265625" style="336" customWidth="1"/>
    <col min="14334" max="14334" width="15.1015625" style="336" customWidth="1"/>
    <col min="14335" max="14580" width="9.16796875" style="336"/>
    <col min="14581" max="14581" width="13.75390625" style="336" customWidth="1"/>
    <col min="14582" max="14582" width="7.953125" style="336" customWidth="1"/>
    <col min="14583" max="14583" width="23.734375" style="336" customWidth="1"/>
    <col min="14584" max="14584" width="16.44921875" style="336" customWidth="1"/>
    <col min="14585" max="14585" width="15.640625" style="336" customWidth="1"/>
    <col min="14586" max="14586" width="16.1796875" style="336" customWidth="1"/>
    <col min="14587" max="14587" width="17.125" style="336" customWidth="1"/>
    <col min="14588" max="14588" width="15.1015625" style="336" customWidth="1"/>
    <col min="14589" max="14589" width="6.47265625" style="336" customWidth="1"/>
    <col min="14590" max="14590" width="15.1015625" style="336" customWidth="1"/>
    <col min="14591" max="14836" width="9.16796875" style="336"/>
    <col min="14837" max="14837" width="13.75390625" style="336" customWidth="1"/>
    <col min="14838" max="14838" width="7.953125" style="336" customWidth="1"/>
    <col min="14839" max="14839" width="23.734375" style="336" customWidth="1"/>
    <col min="14840" max="14840" width="16.44921875" style="336" customWidth="1"/>
    <col min="14841" max="14841" width="15.640625" style="336" customWidth="1"/>
    <col min="14842" max="14842" width="16.1796875" style="336" customWidth="1"/>
    <col min="14843" max="14843" width="17.125" style="336" customWidth="1"/>
    <col min="14844" max="14844" width="15.1015625" style="336" customWidth="1"/>
    <col min="14845" max="14845" width="6.47265625" style="336" customWidth="1"/>
    <col min="14846" max="14846" width="15.1015625" style="336" customWidth="1"/>
    <col min="14847" max="15092" width="9.16796875" style="336"/>
    <col min="15093" max="15093" width="13.75390625" style="336" customWidth="1"/>
    <col min="15094" max="15094" width="7.953125" style="336" customWidth="1"/>
    <col min="15095" max="15095" width="23.734375" style="336" customWidth="1"/>
    <col min="15096" max="15096" width="16.44921875" style="336" customWidth="1"/>
    <col min="15097" max="15097" width="15.640625" style="336" customWidth="1"/>
    <col min="15098" max="15098" width="16.1796875" style="336" customWidth="1"/>
    <col min="15099" max="15099" width="17.125" style="336" customWidth="1"/>
    <col min="15100" max="15100" width="15.1015625" style="336" customWidth="1"/>
    <col min="15101" max="15101" width="6.47265625" style="336" customWidth="1"/>
    <col min="15102" max="15102" width="15.1015625" style="336" customWidth="1"/>
    <col min="15103" max="15348" width="9.16796875" style="336"/>
    <col min="15349" max="15349" width="13.75390625" style="336" customWidth="1"/>
    <col min="15350" max="15350" width="7.953125" style="336" customWidth="1"/>
    <col min="15351" max="15351" width="23.734375" style="336" customWidth="1"/>
    <col min="15352" max="15352" width="16.44921875" style="336" customWidth="1"/>
    <col min="15353" max="15353" width="15.640625" style="336" customWidth="1"/>
    <col min="15354" max="15354" width="16.1796875" style="336" customWidth="1"/>
    <col min="15355" max="15355" width="17.125" style="336" customWidth="1"/>
    <col min="15356" max="15356" width="15.1015625" style="336" customWidth="1"/>
    <col min="15357" max="15357" width="6.47265625" style="336" customWidth="1"/>
    <col min="15358" max="15358" width="15.1015625" style="336" customWidth="1"/>
    <col min="15359" max="15604" width="9.16796875" style="336"/>
    <col min="15605" max="15605" width="13.75390625" style="336" customWidth="1"/>
    <col min="15606" max="15606" width="7.953125" style="336" customWidth="1"/>
    <col min="15607" max="15607" width="23.734375" style="336" customWidth="1"/>
    <col min="15608" max="15608" width="16.44921875" style="336" customWidth="1"/>
    <col min="15609" max="15609" width="15.640625" style="336" customWidth="1"/>
    <col min="15610" max="15610" width="16.1796875" style="336" customWidth="1"/>
    <col min="15611" max="15611" width="17.125" style="336" customWidth="1"/>
    <col min="15612" max="15612" width="15.1015625" style="336" customWidth="1"/>
    <col min="15613" max="15613" width="6.47265625" style="336" customWidth="1"/>
    <col min="15614" max="15614" width="15.1015625" style="336" customWidth="1"/>
    <col min="15615" max="15860" width="9.16796875" style="336"/>
    <col min="15861" max="15861" width="13.75390625" style="336" customWidth="1"/>
    <col min="15862" max="15862" width="7.953125" style="336" customWidth="1"/>
    <col min="15863" max="15863" width="23.734375" style="336" customWidth="1"/>
    <col min="15864" max="15864" width="16.44921875" style="336" customWidth="1"/>
    <col min="15865" max="15865" width="15.640625" style="336" customWidth="1"/>
    <col min="15866" max="15866" width="16.1796875" style="336" customWidth="1"/>
    <col min="15867" max="15867" width="17.125" style="336" customWidth="1"/>
    <col min="15868" max="15868" width="15.1015625" style="336" customWidth="1"/>
    <col min="15869" max="15869" width="6.47265625" style="336" customWidth="1"/>
    <col min="15870" max="15870" width="15.1015625" style="336" customWidth="1"/>
    <col min="15871" max="16116" width="9.16796875" style="336"/>
    <col min="16117" max="16117" width="13.75390625" style="336" customWidth="1"/>
    <col min="16118" max="16118" width="7.953125" style="336" customWidth="1"/>
    <col min="16119" max="16119" width="23.734375" style="336" customWidth="1"/>
    <col min="16120" max="16120" width="16.44921875" style="336" customWidth="1"/>
    <col min="16121" max="16121" width="15.640625" style="336" customWidth="1"/>
    <col min="16122" max="16122" width="16.1796875" style="336" customWidth="1"/>
    <col min="16123" max="16123" width="17.125" style="336" customWidth="1"/>
    <col min="16124" max="16124" width="15.1015625" style="336" customWidth="1"/>
    <col min="16125" max="16125" width="6.47265625" style="336" customWidth="1"/>
    <col min="16126" max="16126" width="15.1015625" style="336" customWidth="1"/>
    <col min="16127" max="16384" width="9.16796875" style="336"/>
  </cols>
  <sheetData>
    <row r="1" spans="2:10" s="277" customFormat="1">
      <c r="B1" s="271" t="str">
        <f>'[12]Bill 1'!A1</f>
        <v>CONTRACT NAME</v>
      </c>
      <c r="C1" s="272"/>
      <c r="D1" s="273"/>
      <c r="E1" s="274"/>
      <c r="F1" s="272"/>
      <c r="G1" s="275"/>
      <c r="H1" s="275"/>
      <c r="I1" s="275"/>
      <c r="J1" s="276"/>
    </row>
    <row r="2" spans="2:10" s="277" customFormat="1">
      <c r="B2" s="278" t="str">
        <f>'[12]Bill 1'!A2</f>
        <v/>
      </c>
      <c r="C2" s="47" t="str">
        <f>'Bill 1'!C1</f>
        <v>:MISCELLANEOUS FOREIGN AIDED PROJECT</v>
      </c>
      <c r="D2" s="47"/>
      <c r="E2" s="47"/>
      <c r="F2" s="47"/>
      <c r="G2" s="47"/>
      <c r="H2" s="47"/>
      <c r="I2" s="47"/>
      <c r="J2" s="279"/>
    </row>
    <row r="3" spans="2:10" s="277" customFormat="1">
      <c r="B3" s="278"/>
      <c r="C3" s="47" t="str">
        <f>'Bill 1'!C2</f>
        <v>REHABILITATION OF THE A-017 ROAD CORRIDOR PROJECT (SURIYAKANDA - RAKWANA)</v>
      </c>
      <c r="D3" s="47"/>
      <c r="E3" s="47"/>
      <c r="F3" s="47"/>
      <c r="G3" s="47"/>
      <c r="H3" s="47"/>
      <c r="I3" s="47"/>
      <c r="J3" s="279"/>
    </row>
    <row r="4" spans="2:10" s="277" customFormat="1">
      <c r="B4" s="278"/>
      <c r="C4" s="47" t="str">
        <f>'Bill 1'!C3</f>
        <v>FUNDED BY OPEC FUND FOR INTERNATIONAL DEVELOPMENT (OFID)</v>
      </c>
      <c r="F4" s="47"/>
      <c r="G4" s="51"/>
      <c r="H4" s="51"/>
      <c r="I4" s="51"/>
      <c r="J4" s="280"/>
    </row>
    <row r="5" spans="2:10" s="277" customFormat="1">
      <c r="B5" s="278"/>
      <c r="C5" s="47" t="str">
        <f>'Bill 1'!C4</f>
        <v>SECTION FROM CH. 112+600 KM TO CH. 118+600 KM</v>
      </c>
      <c r="F5" s="47"/>
      <c r="G5" s="51"/>
      <c r="H5" s="51"/>
      <c r="I5" s="51"/>
      <c r="J5" s="280"/>
    </row>
    <row r="6" spans="2:10" s="277" customFormat="1">
      <c r="B6" s="281" t="str">
        <f>'[12]Bill 1'!A4</f>
        <v>CONTRACT NO</v>
      </c>
      <c r="C6" s="47"/>
      <c r="D6" s="282"/>
      <c r="F6" s="47"/>
      <c r="G6" s="51"/>
      <c r="H6" s="51"/>
      <c r="I6" s="51"/>
      <c r="J6" s="280"/>
    </row>
    <row r="7" spans="2:10" s="277" customFormat="1">
      <c r="B7" s="281"/>
      <c r="C7" s="47" t="str">
        <f>'Bill 1'!C6</f>
        <v>:RDA/MFAP/ICB/OFID-04(A)</v>
      </c>
      <c r="D7" s="48"/>
      <c r="E7" s="51"/>
      <c r="F7" s="51"/>
      <c r="G7" s="51"/>
      <c r="H7" s="283"/>
      <c r="I7" s="50" t="s">
        <v>54</v>
      </c>
      <c r="J7" s="284" t="e">
        <f>'Bill 1'!#REF!</f>
        <v>#REF!</v>
      </c>
    </row>
    <row r="8" spans="2:10" s="277" customFormat="1">
      <c r="B8" s="281"/>
      <c r="C8" s="47"/>
      <c r="D8" s="48"/>
      <c r="E8" s="51"/>
      <c r="F8" s="51"/>
      <c r="G8" s="51"/>
      <c r="H8" s="283"/>
      <c r="I8" s="52" t="s">
        <v>55</v>
      </c>
      <c r="J8" s="285" t="e">
        <f>'Bill 1'!#REF!</f>
        <v>#REF!</v>
      </c>
    </row>
    <row r="9" spans="2:10" s="289" customFormat="1">
      <c r="B9" s="286" t="s">
        <v>740</v>
      </c>
      <c r="C9" s="287"/>
      <c r="D9" s="287"/>
      <c r="E9" s="287"/>
      <c r="F9" s="287"/>
      <c r="G9" s="287"/>
      <c r="H9" s="287"/>
      <c r="I9" s="287"/>
      <c r="J9" s="288"/>
    </row>
    <row r="10" spans="2:10" s="295" customFormat="1">
      <c r="B10" s="290"/>
      <c r="C10" s="758"/>
      <c r="D10" s="758"/>
      <c r="E10" s="291"/>
      <c r="F10" s="291"/>
      <c r="G10" s="292"/>
      <c r="H10" s="293"/>
      <c r="I10" s="293"/>
      <c r="J10" s="294"/>
    </row>
    <row r="11" spans="2:10" s="298" customFormat="1" ht="9" customHeight="1">
      <c r="B11" s="296"/>
      <c r="C11" s="297"/>
      <c r="D11" s="297"/>
      <c r="E11" s="297"/>
      <c r="F11" s="297"/>
      <c r="G11" s="297"/>
      <c r="J11" s="299"/>
    </row>
    <row r="12" spans="2:10" s="298" customFormat="1">
      <c r="B12" s="296"/>
      <c r="C12" s="297" t="s">
        <v>813</v>
      </c>
      <c r="D12" s="297"/>
      <c r="E12" s="297"/>
      <c r="F12" s="297"/>
      <c r="G12" s="297"/>
      <c r="J12" s="299"/>
    </row>
    <row r="13" spans="2:10" s="298" customFormat="1">
      <c r="B13" s="296"/>
      <c r="C13" s="297" t="s">
        <v>741</v>
      </c>
      <c r="D13" s="297"/>
      <c r="E13" s="297"/>
      <c r="F13" s="297"/>
      <c r="G13" s="297"/>
      <c r="J13" s="299"/>
    </row>
    <row r="14" spans="2:10" s="298" customFormat="1" ht="9.6" customHeight="1">
      <c r="B14" s="296"/>
      <c r="C14" s="297"/>
      <c r="D14" s="297"/>
      <c r="E14" s="297"/>
      <c r="F14" s="297"/>
      <c r="G14" s="297"/>
      <c r="J14" s="300"/>
    </row>
    <row r="15" spans="2:10" s="298" customFormat="1">
      <c r="B15" s="296" t="s">
        <v>742</v>
      </c>
      <c r="C15" s="297" t="s">
        <v>743</v>
      </c>
      <c r="D15" s="297"/>
      <c r="E15" s="297"/>
      <c r="F15" s="297"/>
      <c r="G15" s="297"/>
      <c r="J15" s="300"/>
    </row>
    <row r="16" spans="2:10" s="298" customFormat="1" ht="15" customHeight="1">
      <c r="B16" s="296"/>
      <c r="C16" s="297"/>
      <c r="J16" s="301"/>
    </row>
    <row r="17" spans="2:10" s="298" customFormat="1">
      <c r="B17" s="296"/>
      <c r="C17" s="297" t="s">
        <v>744</v>
      </c>
      <c r="J17" s="300"/>
    </row>
    <row r="18" spans="2:10" s="298" customFormat="1">
      <c r="B18" s="296"/>
      <c r="C18" s="297"/>
      <c r="J18" s="300"/>
    </row>
    <row r="19" spans="2:10" s="298" customFormat="1">
      <c r="B19" s="296"/>
      <c r="C19" s="297" t="s">
        <v>745</v>
      </c>
      <c r="J19" s="300"/>
    </row>
    <row r="20" spans="2:10" s="298" customFormat="1">
      <c r="B20" s="296"/>
      <c r="C20" s="297"/>
      <c r="J20" s="300"/>
    </row>
    <row r="21" spans="2:10" s="298" customFormat="1" ht="15" customHeight="1">
      <c r="B21" s="296"/>
      <c r="C21" s="297" t="s">
        <v>746</v>
      </c>
      <c r="J21" s="300"/>
    </row>
    <row r="22" spans="2:10" s="298" customFormat="1">
      <c r="B22" s="296"/>
      <c r="C22" s="297"/>
      <c r="J22" s="300"/>
    </row>
    <row r="23" spans="2:10" s="298" customFormat="1">
      <c r="B23" s="296"/>
      <c r="C23" s="297" t="s">
        <v>747</v>
      </c>
      <c r="J23" s="300"/>
    </row>
    <row r="24" spans="2:10" s="298" customFormat="1">
      <c r="B24" s="296"/>
      <c r="C24" s="297"/>
      <c r="J24" s="300"/>
    </row>
    <row r="25" spans="2:10" s="298" customFormat="1">
      <c r="B25" s="296"/>
      <c r="C25" s="297" t="s">
        <v>748</v>
      </c>
      <c r="D25" s="297"/>
      <c r="E25" s="297"/>
      <c r="F25" s="297"/>
      <c r="G25" s="297"/>
      <c r="J25" s="300"/>
    </row>
    <row r="26" spans="2:10" s="298" customFormat="1">
      <c r="B26" s="296"/>
      <c r="C26" s="297"/>
      <c r="D26" s="297"/>
      <c r="E26" s="297"/>
      <c r="F26" s="297"/>
      <c r="G26" s="297"/>
      <c r="J26" s="300"/>
    </row>
    <row r="27" spans="2:10" s="298" customFormat="1">
      <c r="B27" s="296"/>
      <c r="C27" s="297" t="s">
        <v>749</v>
      </c>
      <c r="D27" s="297"/>
      <c r="E27" s="297"/>
      <c r="F27" s="297"/>
      <c r="G27" s="297"/>
      <c r="J27" s="300"/>
    </row>
    <row r="28" spans="2:10" s="298" customFormat="1">
      <c r="B28" s="296"/>
      <c r="J28" s="300"/>
    </row>
    <row r="29" spans="2:10" s="298" customFormat="1">
      <c r="B29" s="296"/>
      <c r="J29" s="300"/>
    </row>
    <row r="30" spans="2:10" s="298" customFormat="1">
      <c r="B30" s="302" t="s">
        <v>93</v>
      </c>
      <c r="C30" s="303" t="s">
        <v>818</v>
      </c>
      <c r="D30" s="304"/>
      <c r="E30" s="304"/>
      <c r="F30" s="304"/>
      <c r="G30" s="304"/>
      <c r="H30" s="304"/>
      <c r="I30" s="305"/>
      <c r="J30" s="306"/>
    </row>
    <row r="31" spans="2:10" s="298" customFormat="1">
      <c r="B31" s="296"/>
      <c r="C31" s="305"/>
      <c r="D31" s="305"/>
      <c r="E31" s="305"/>
      <c r="F31" s="305"/>
      <c r="G31" s="305"/>
      <c r="H31" s="305"/>
      <c r="I31" s="305"/>
      <c r="J31" s="306"/>
    </row>
    <row r="32" spans="2:10" s="298" customFormat="1">
      <c r="B32" s="296"/>
      <c r="C32" s="307" t="s">
        <v>452</v>
      </c>
      <c r="D32" s="751" t="s">
        <v>74</v>
      </c>
      <c r="E32" s="751"/>
      <c r="F32" s="751"/>
      <c r="G32" s="751"/>
      <c r="H32" s="308" t="s">
        <v>750</v>
      </c>
      <c r="I32" s="307" t="s">
        <v>750</v>
      </c>
      <c r="J32" s="309"/>
    </row>
    <row r="33" spans="2:11" s="298" customFormat="1">
      <c r="B33" s="296"/>
      <c r="C33" s="310">
        <v>1</v>
      </c>
      <c r="D33" s="759" t="s">
        <v>751</v>
      </c>
      <c r="E33" s="760"/>
      <c r="F33" s="760"/>
      <c r="G33" s="761"/>
      <c r="H33" s="311" t="e">
        <f>GS!#REF!</f>
        <v>#REF!</v>
      </c>
      <c r="I33" s="312"/>
      <c r="J33" s="313"/>
    </row>
    <row r="34" spans="2:11" s="298" customFormat="1">
      <c r="B34" s="296"/>
      <c r="C34" s="314"/>
      <c r="D34" s="749"/>
      <c r="E34" s="749"/>
      <c r="F34" s="749"/>
      <c r="G34" s="718"/>
      <c r="H34" s="315"/>
      <c r="I34" s="316"/>
      <c r="J34" s="313"/>
    </row>
    <row r="35" spans="2:11" s="298" customFormat="1">
      <c r="B35" s="317"/>
      <c r="C35" s="314"/>
      <c r="D35" s="762"/>
      <c r="E35" s="763"/>
      <c r="F35" s="763"/>
      <c r="G35" s="764"/>
      <c r="H35" s="318"/>
      <c r="I35" s="319" t="e">
        <f>ROUND(SUM(H33:H34),2)</f>
        <v>#REF!</v>
      </c>
      <c r="J35" s="320"/>
      <c r="K35" s="321">
        <v>535616797.19</v>
      </c>
    </row>
    <row r="36" spans="2:11" s="298" customFormat="1">
      <c r="B36" s="317"/>
      <c r="C36" s="314"/>
      <c r="D36" s="765" t="s">
        <v>752</v>
      </c>
      <c r="E36" s="765"/>
      <c r="F36" s="765"/>
      <c r="G36" s="766"/>
      <c r="H36" s="322"/>
      <c r="I36" s="323"/>
      <c r="J36" s="324"/>
    </row>
    <row r="37" spans="2:11" s="298" customFormat="1">
      <c r="B37" s="317"/>
      <c r="C37" s="314">
        <v>1</v>
      </c>
      <c r="D37" s="749" t="s">
        <v>753</v>
      </c>
      <c r="E37" s="749"/>
      <c r="F37" s="749"/>
      <c r="G37" s="718"/>
      <c r="H37" s="325" t="e">
        <f>GS!#REF!</f>
        <v>#REF!</v>
      </c>
      <c r="I37" s="323"/>
      <c r="J37" s="324"/>
    </row>
    <row r="38" spans="2:11" s="298" customFormat="1">
      <c r="B38" s="317"/>
      <c r="C38" s="314">
        <v>2</v>
      </c>
      <c r="D38" s="749" t="s">
        <v>754</v>
      </c>
      <c r="E38" s="749"/>
      <c r="F38" s="749"/>
      <c r="G38" s="718"/>
      <c r="H38" s="325" t="e">
        <f>GS!#REF!</f>
        <v>#REF!</v>
      </c>
      <c r="I38" s="323"/>
      <c r="J38" s="320"/>
    </row>
    <row r="39" spans="2:11" s="327" customFormat="1">
      <c r="B39" s="317"/>
      <c r="C39" s="314">
        <v>3</v>
      </c>
      <c r="D39" s="737" t="s">
        <v>755</v>
      </c>
      <c r="E39" s="749"/>
      <c r="F39" s="749"/>
      <c r="G39" s="718"/>
      <c r="H39" s="326" t="e">
        <f>GS!#REF!</f>
        <v>#REF!</v>
      </c>
      <c r="I39" s="323"/>
      <c r="J39" s="324"/>
    </row>
    <row r="40" spans="2:11" s="327" customFormat="1">
      <c r="B40" s="317"/>
      <c r="C40" s="314">
        <v>4</v>
      </c>
      <c r="D40" s="749" t="s">
        <v>756</v>
      </c>
      <c r="E40" s="749"/>
      <c r="F40" s="749"/>
      <c r="G40" s="718"/>
      <c r="H40" s="325" t="e">
        <f>GS!#REF!+GS!#REF!+GS!#REF!</f>
        <v>#REF!</v>
      </c>
      <c r="I40" s="323"/>
      <c r="J40" s="324"/>
    </row>
    <row r="41" spans="2:11" s="327" customFormat="1">
      <c r="B41" s="317"/>
      <c r="C41" s="314">
        <v>5</v>
      </c>
      <c r="D41" s="749" t="s">
        <v>98</v>
      </c>
      <c r="E41" s="749"/>
      <c r="F41" s="749"/>
      <c r="G41" s="749"/>
      <c r="H41" s="325" t="e">
        <f>GS!#REF!</f>
        <v>#REF!</v>
      </c>
      <c r="I41" s="323"/>
      <c r="J41" s="324"/>
    </row>
    <row r="42" spans="2:11" s="327" customFormat="1">
      <c r="B42" s="317"/>
      <c r="C42" s="328"/>
      <c r="D42" s="750" t="s">
        <v>757</v>
      </c>
      <c r="E42" s="750"/>
      <c r="F42" s="750"/>
      <c r="G42" s="750"/>
      <c r="H42" s="329"/>
      <c r="I42" s="330" t="e">
        <f>SUM(H36:H41)</f>
        <v>#REF!</v>
      </c>
      <c r="J42" s="320"/>
      <c r="K42" s="331">
        <v>484767643.94999999</v>
      </c>
    </row>
    <row r="43" spans="2:11" s="327" customFormat="1" ht="14.25" thickBot="1">
      <c r="B43" s="317"/>
      <c r="C43" s="303" t="s">
        <v>820</v>
      </c>
      <c r="D43" s="304"/>
      <c r="E43" s="304"/>
      <c r="F43" s="304"/>
      <c r="G43" s="304"/>
      <c r="H43" s="332"/>
      <c r="I43" s="333" t="e">
        <f>I35-I42</f>
        <v>#REF!</v>
      </c>
      <c r="J43" s="320"/>
      <c r="K43" s="331">
        <v>50849153.240000002</v>
      </c>
    </row>
    <row r="44" spans="2:11" s="298" customFormat="1" ht="14.25" thickTop="1">
      <c r="B44" s="296"/>
      <c r="J44" s="300"/>
      <c r="K44" s="331"/>
    </row>
    <row r="45" spans="2:11" s="298" customFormat="1">
      <c r="B45" s="296"/>
      <c r="J45" s="300"/>
      <c r="K45" s="331"/>
    </row>
    <row r="46" spans="2:11" s="298" customFormat="1">
      <c r="B46" s="296"/>
      <c r="J46" s="300"/>
      <c r="K46" s="331"/>
    </row>
    <row r="47" spans="2:11" s="298" customFormat="1">
      <c r="B47" s="296"/>
      <c r="J47" s="300"/>
      <c r="K47" s="331"/>
    </row>
    <row r="48" spans="2:11" s="298" customFormat="1">
      <c r="B48" s="296"/>
      <c r="J48" s="300"/>
      <c r="K48" s="331"/>
    </row>
    <row r="49" spans="2:11" s="298" customFormat="1">
      <c r="B49" s="296"/>
      <c r="J49" s="300"/>
      <c r="K49" s="331"/>
    </row>
    <row r="50" spans="2:11" s="298" customFormat="1">
      <c r="B50" s="296"/>
      <c r="J50" s="300"/>
      <c r="K50" s="331"/>
    </row>
    <row r="51" spans="2:11" s="298" customFormat="1">
      <c r="B51" s="296"/>
      <c r="J51" s="300"/>
      <c r="K51" s="331"/>
    </row>
    <row r="52" spans="2:11" s="298" customFormat="1">
      <c r="B52" s="296"/>
      <c r="J52" s="300"/>
      <c r="K52" s="331"/>
    </row>
    <row r="53" spans="2:11" s="298" customFormat="1">
      <c r="B53" s="296"/>
      <c r="J53" s="300"/>
      <c r="K53" s="331"/>
    </row>
    <row r="54" spans="2:11" s="298" customFormat="1">
      <c r="B54" s="296"/>
      <c r="J54" s="300"/>
      <c r="K54" s="331"/>
    </row>
    <row r="55" spans="2:11" s="298" customFormat="1">
      <c r="B55" s="296"/>
      <c r="J55" s="300"/>
      <c r="K55" s="331"/>
    </row>
    <row r="56" spans="2:11" s="298" customFormat="1">
      <c r="B56" s="296"/>
      <c r="J56" s="300"/>
    </row>
    <row r="57" spans="2:11" s="298" customFormat="1">
      <c r="B57" s="260" t="s">
        <v>66</v>
      </c>
      <c r="J57" s="261" t="s">
        <v>68</v>
      </c>
    </row>
    <row r="58" spans="2:11" ht="32.25" customHeight="1">
      <c r="B58" s="262"/>
      <c r="C58" s="58"/>
      <c r="D58" s="58"/>
      <c r="E58" s="58"/>
      <c r="F58" s="334"/>
      <c r="G58" s="334"/>
      <c r="H58" s="61"/>
      <c r="I58" s="335"/>
      <c r="J58" s="263"/>
    </row>
    <row r="59" spans="2:11">
      <c r="B59" s="264" t="s">
        <v>69</v>
      </c>
      <c r="C59" s="58"/>
      <c r="D59" s="58"/>
      <c r="E59" s="58"/>
      <c r="F59" s="334"/>
      <c r="G59" s="334"/>
      <c r="H59" s="61"/>
      <c r="I59" s="335"/>
      <c r="J59" s="265" t="s">
        <v>71</v>
      </c>
    </row>
    <row r="60" spans="2:11">
      <c r="B60" s="266" t="s">
        <v>67</v>
      </c>
      <c r="C60" s="337"/>
      <c r="D60" s="337"/>
      <c r="E60" s="337"/>
      <c r="F60" s="338"/>
      <c r="G60" s="338"/>
      <c r="H60" s="337"/>
      <c r="I60" s="339"/>
      <c r="J60" s="267" t="s">
        <v>70</v>
      </c>
    </row>
    <row r="61" spans="2:11" s="327" customFormat="1">
      <c r="B61" s="340" t="s">
        <v>95</v>
      </c>
      <c r="C61" s="341" t="s">
        <v>758</v>
      </c>
      <c r="D61" s="342"/>
      <c r="E61" s="342"/>
      <c r="F61" s="342"/>
      <c r="G61" s="342"/>
      <c r="H61" s="342"/>
      <c r="I61" s="342"/>
      <c r="J61" s="343"/>
    </row>
    <row r="62" spans="2:11" s="327" customFormat="1" ht="4.1500000000000004" customHeight="1">
      <c r="B62" s="296"/>
      <c r="C62" s="305"/>
      <c r="D62" s="305"/>
      <c r="E62" s="305"/>
      <c r="F62" s="305"/>
      <c r="G62" s="305"/>
      <c r="H62" s="305"/>
      <c r="I62" s="305"/>
      <c r="J62" s="306"/>
    </row>
    <row r="63" spans="2:11" s="327" customFormat="1">
      <c r="B63" s="296"/>
      <c r="C63" s="751" t="s">
        <v>759</v>
      </c>
      <c r="D63" s="751" t="s">
        <v>760</v>
      </c>
      <c r="E63" s="751"/>
      <c r="F63" s="752" t="s">
        <v>761</v>
      </c>
      <c r="G63" s="753"/>
      <c r="H63" s="738" t="s">
        <v>762</v>
      </c>
      <c r="I63" s="739"/>
      <c r="J63" s="740" t="s">
        <v>763</v>
      </c>
      <c r="K63" s="120">
        <v>2022.8</v>
      </c>
    </row>
    <row r="64" spans="2:11" s="298" customFormat="1">
      <c r="B64" s="296"/>
      <c r="C64" s="751"/>
      <c r="D64" s="751"/>
      <c r="E64" s="751"/>
      <c r="F64" s="754"/>
      <c r="G64" s="755"/>
      <c r="H64" s="743" t="s">
        <v>800</v>
      </c>
      <c r="I64" s="744" t="s">
        <v>819</v>
      </c>
      <c r="J64" s="741"/>
      <c r="K64" s="344"/>
    </row>
    <row r="65" spans="2:11" s="298" customFormat="1">
      <c r="B65" s="296"/>
      <c r="C65" s="751"/>
      <c r="D65" s="751"/>
      <c r="E65" s="751"/>
      <c r="F65" s="756"/>
      <c r="G65" s="757"/>
      <c r="H65" s="743"/>
      <c r="I65" s="745"/>
      <c r="J65" s="742"/>
      <c r="K65" s="344">
        <v>2343.1</v>
      </c>
    </row>
    <row r="66" spans="2:11" s="298" customFormat="1">
      <c r="B66" s="317"/>
      <c r="C66" s="310" t="s">
        <v>768</v>
      </c>
      <c r="D66" s="746" t="s">
        <v>769</v>
      </c>
      <c r="E66" s="747"/>
      <c r="F66" s="748">
        <v>2.4300000000000002</v>
      </c>
      <c r="G66" s="748"/>
      <c r="H66" s="345">
        <v>696.6</v>
      </c>
      <c r="I66" s="346">
        <v>1742.4</v>
      </c>
      <c r="J66" s="347">
        <f t="shared" ref="J66:J72" si="0">ROUND((F66*(I66-H66)/H66),6)</f>
        <v>3.6481400000000002</v>
      </c>
      <c r="K66" s="344"/>
    </row>
    <row r="67" spans="2:11" s="298" customFormat="1">
      <c r="B67" s="317"/>
      <c r="C67" s="314" t="s">
        <v>801</v>
      </c>
      <c r="D67" s="737" t="s">
        <v>802</v>
      </c>
      <c r="E67" s="718"/>
      <c r="F67" s="719">
        <v>0.44</v>
      </c>
      <c r="G67" s="719"/>
      <c r="H67" s="348">
        <v>885.9</v>
      </c>
      <c r="I67" s="349">
        <f>K65</f>
        <v>2343.1</v>
      </c>
      <c r="J67" s="350">
        <f t="shared" si="0"/>
        <v>0.72374799999999995</v>
      </c>
      <c r="K67" s="344">
        <v>1036.4000000000001</v>
      </c>
    </row>
    <row r="68" spans="2:11" s="298" customFormat="1">
      <c r="B68" s="317"/>
      <c r="C68" s="314" t="s">
        <v>770</v>
      </c>
      <c r="D68" s="737" t="s">
        <v>771</v>
      </c>
      <c r="E68" s="718"/>
      <c r="F68" s="719">
        <v>1.67</v>
      </c>
      <c r="G68" s="719"/>
      <c r="H68" s="348">
        <v>429.9</v>
      </c>
      <c r="I68" s="348">
        <f>K67</f>
        <v>1036.4000000000001</v>
      </c>
      <c r="J68" s="350">
        <f t="shared" si="0"/>
        <v>2.3560249999999998</v>
      </c>
      <c r="K68" s="344"/>
    </row>
    <row r="69" spans="2:11" s="298" customFormat="1">
      <c r="B69" s="317"/>
      <c r="C69" s="314" t="s">
        <v>772</v>
      </c>
      <c r="D69" s="737" t="s">
        <v>773</v>
      </c>
      <c r="E69" s="718"/>
      <c r="F69" s="719">
        <v>1.0900000000000001</v>
      </c>
      <c r="G69" s="719"/>
      <c r="H69" s="348">
        <v>3929.8</v>
      </c>
      <c r="I69" s="348">
        <v>6300.2</v>
      </c>
      <c r="J69" s="350">
        <f t="shared" si="0"/>
        <v>0.65747299999999997</v>
      </c>
      <c r="K69" s="120">
        <v>6672.7</v>
      </c>
    </row>
    <row r="70" spans="2:11" s="327" customFormat="1">
      <c r="B70" s="317"/>
      <c r="C70" s="314" t="s">
        <v>774</v>
      </c>
      <c r="D70" s="737" t="s">
        <v>803</v>
      </c>
      <c r="E70" s="718"/>
      <c r="F70" s="719">
        <v>10.41</v>
      </c>
      <c r="G70" s="719"/>
      <c r="H70" s="348">
        <v>1089</v>
      </c>
      <c r="I70" s="348">
        <v>2092</v>
      </c>
      <c r="J70" s="350">
        <f t="shared" si="0"/>
        <v>9.5879060000000003</v>
      </c>
      <c r="K70" s="120"/>
    </row>
    <row r="71" spans="2:11" s="327" customFormat="1">
      <c r="B71" s="317"/>
      <c r="C71" s="314" t="s">
        <v>804</v>
      </c>
      <c r="D71" s="737" t="s">
        <v>805</v>
      </c>
      <c r="E71" s="718"/>
      <c r="F71" s="719">
        <v>1.1100000000000001</v>
      </c>
      <c r="G71" s="719"/>
      <c r="H71" s="348">
        <v>1225</v>
      </c>
      <c r="I71" s="348">
        <f>K73</f>
        <v>1808.5</v>
      </c>
      <c r="J71" s="350">
        <f>ROUND((F71*(I71-H71)/H71),6)</f>
        <v>0.52872200000000003</v>
      </c>
      <c r="K71" s="120">
        <v>2215.5</v>
      </c>
    </row>
    <row r="72" spans="2:11" s="327" customFormat="1">
      <c r="B72" s="317"/>
      <c r="C72" s="314" t="s">
        <v>775</v>
      </c>
      <c r="D72" s="737" t="s">
        <v>776</v>
      </c>
      <c r="E72" s="718"/>
      <c r="F72" s="719">
        <v>1.32</v>
      </c>
      <c r="G72" s="719"/>
      <c r="H72" s="348">
        <v>494.9</v>
      </c>
      <c r="I72" s="348">
        <f>K75</f>
        <v>1104.9000000000001</v>
      </c>
      <c r="J72" s="350">
        <f t="shared" si="0"/>
        <v>1.626995</v>
      </c>
      <c r="K72" s="120"/>
    </row>
    <row r="73" spans="2:11" s="327" customFormat="1">
      <c r="B73" s="317"/>
      <c r="C73" s="314" t="s">
        <v>806</v>
      </c>
      <c r="D73" s="737" t="s">
        <v>807</v>
      </c>
      <c r="E73" s="718"/>
      <c r="F73" s="719">
        <v>0.77</v>
      </c>
      <c r="G73" s="719"/>
      <c r="H73" s="348">
        <v>1400</v>
      </c>
      <c r="I73" s="348">
        <f>K77</f>
        <v>2481.3000000000002</v>
      </c>
      <c r="J73" s="350">
        <f t="shared" ref="J73:J80" si="1">ROUND((F73*(I73-H73)/H73),6)</f>
        <v>0.59471499999999999</v>
      </c>
      <c r="K73" s="120">
        <v>1808.5</v>
      </c>
    </row>
    <row r="74" spans="2:11" s="327" customFormat="1">
      <c r="B74" s="317"/>
      <c r="C74" s="314" t="s">
        <v>808</v>
      </c>
      <c r="D74" s="737" t="s">
        <v>809</v>
      </c>
      <c r="E74" s="718"/>
      <c r="F74" s="719">
        <v>1.3</v>
      </c>
      <c r="G74" s="719"/>
      <c r="H74" s="348">
        <v>253.4</v>
      </c>
      <c r="I74" s="348">
        <f>K79</f>
        <v>591</v>
      </c>
      <c r="J74" s="350">
        <f t="shared" si="1"/>
        <v>1.731965</v>
      </c>
      <c r="K74" s="120"/>
    </row>
    <row r="75" spans="2:11" s="327" customFormat="1">
      <c r="B75" s="317"/>
      <c r="C75" s="351" t="s">
        <v>777</v>
      </c>
      <c r="D75" s="717" t="s">
        <v>778</v>
      </c>
      <c r="E75" s="718"/>
      <c r="F75" s="719">
        <v>20.07</v>
      </c>
      <c r="G75" s="719"/>
      <c r="H75" s="348">
        <v>475.9</v>
      </c>
      <c r="I75" s="348">
        <f>K81</f>
        <v>588.70000000000005</v>
      </c>
      <c r="J75" s="350">
        <f t="shared" si="1"/>
        <v>4.7570829999999997</v>
      </c>
      <c r="K75" s="120">
        <v>1104.9000000000001</v>
      </c>
    </row>
    <row r="76" spans="2:11" s="327" customFormat="1">
      <c r="B76" s="317"/>
      <c r="C76" s="351" t="s">
        <v>779</v>
      </c>
      <c r="D76" s="717" t="s">
        <v>780</v>
      </c>
      <c r="E76" s="718"/>
      <c r="F76" s="719">
        <v>22.93</v>
      </c>
      <c r="G76" s="719"/>
      <c r="H76" s="348">
        <v>418.2</v>
      </c>
      <c r="I76" s="348">
        <f>K83</f>
        <v>517.29999999999995</v>
      </c>
      <c r="J76" s="350">
        <f t="shared" si="1"/>
        <v>5.433675</v>
      </c>
      <c r="K76" s="120"/>
    </row>
    <row r="77" spans="2:11" s="327" customFormat="1">
      <c r="B77" s="317"/>
      <c r="C77" s="351" t="s">
        <v>781</v>
      </c>
      <c r="D77" s="717" t="s">
        <v>782</v>
      </c>
      <c r="E77" s="718"/>
      <c r="F77" s="719">
        <v>11.98</v>
      </c>
      <c r="G77" s="719"/>
      <c r="H77" s="348">
        <v>1084.7</v>
      </c>
      <c r="I77" s="348">
        <v>4120</v>
      </c>
      <c r="J77" s="350">
        <f t="shared" si="1"/>
        <v>33.523457000000001</v>
      </c>
      <c r="K77" s="120">
        <v>2481.3000000000002</v>
      </c>
    </row>
    <row r="78" spans="2:11" s="327" customFormat="1">
      <c r="B78" s="317"/>
      <c r="C78" s="314" t="s">
        <v>764</v>
      </c>
      <c r="D78" s="737" t="s">
        <v>765</v>
      </c>
      <c r="E78" s="718"/>
      <c r="F78" s="719">
        <v>3.31</v>
      </c>
      <c r="G78" s="719"/>
      <c r="H78" s="348">
        <v>588.29999999999995</v>
      </c>
      <c r="I78" s="348">
        <f>K87</f>
        <v>750.6</v>
      </c>
      <c r="J78" s="350">
        <f t="shared" si="1"/>
        <v>0.91316200000000003</v>
      </c>
      <c r="K78" s="120"/>
    </row>
    <row r="79" spans="2:11" s="327" customFormat="1">
      <c r="B79" s="317"/>
      <c r="C79" s="351" t="s">
        <v>766</v>
      </c>
      <c r="D79" s="717" t="s">
        <v>810</v>
      </c>
      <c r="E79" s="718"/>
      <c r="F79" s="719">
        <v>5.56</v>
      </c>
      <c r="G79" s="719"/>
      <c r="H79" s="348">
        <v>638.4</v>
      </c>
      <c r="I79" s="348">
        <f>K89</f>
        <v>814.5</v>
      </c>
      <c r="J79" s="350">
        <f t="shared" si="1"/>
        <v>1.533703</v>
      </c>
      <c r="K79" s="120">
        <v>591</v>
      </c>
    </row>
    <row r="80" spans="2:11" s="327" customFormat="1">
      <c r="B80" s="317"/>
      <c r="C80" s="352" t="s">
        <v>767</v>
      </c>
      <c r="D80" s="729" t="s">
        <v>811</v>
      </c>
      <c r="E80" s="730"/>
      <c r="F80" s="731">
        <v>5.61</v>
      </c>
      <c r="G80" s="731"/>
      <c r="H80" s="353">
        <v>725.3</v>
      </c>
      <c r="I80" s="353">
        <f>K91</f>
        <v>925.4</v>
      </c>
      <c r="J80" s="350">
        <f t="shared" si="1"/>
        <v>1.54772</v>
      </c>
      <c r="K80" s="120"/>
    </row>
    <row r="81" spans="2:11" s="327" customFormat="1">
      <c r="B81" s="296"/>
      <c r="C81" s="354"/>
      <c r="D81" s="720" t="s">
        <v>783</v>
      </c>
      <c r="E81" s="721"/>
      <c r="F81" s="722">
        <v>90</v>
      </c>
      <c r="G81" s="722"/>
      <c r="H81" s="355"/>
      <c r="I81" s="355"/>
      <c r="J81" s="356"/>
      <c r="K81" s="120">
        <v>588.70000000000005</v>
      </c>
    </row>
    <row r="82" spans="2:11" s="327" customFormat="1">
      <c r="B82" s="296"/>
      <c r="C82" s="723" t="s">
        <v>784</v>
      </c>
      <c r="D82" s="724"/>
      <c r="E82" s="724"/>
      <c r="F82" s="724"/>
      <c r="G82" s="724"/>
      <c r="H82" s="724"/>
      <c r="I82" s="725"/>
      <c r="J82" s="357">
        <f>ROUND(SUM(J66:J80),6)</f>
        <v>69.164489000000003</v>
      </c>
      <c r="K82" s="358"/>
    </row>
    <row r="83" spans="2:11" s="327" customFormat="1" ht="9" customHeight="1">
      <c r="B83" s="296"/>
      <c r="C83" s="342"/>
      <c r="D83" s="342"/>
      <c r="E83" s="342"/>
      <c r="F83" s="342"/>
      <c r="G83" s="342"/>
      <c r="H83" s="342"/>
      <c r="I83" s="342"/>
      <c r="J83" s="343"/>
      <c r="K83" s="120">
        <v>517.29999999999995</v>
      </c>
    </row>
    <row r="84" spans="2:11" s="362" customFormat="1">
      <c r="B84" s="302" t="s">
        <v>97</v>
      </c>
      <c r="C84" s="359" t="s">
        <v>785</v>
      </c>
      <c r="D84" s="305"/>
      <c r="E84" s="305"/>
      <c r="F84" s="305"/>
      <c r="G84" s="336"/>
      <c r="H84" s="336"/>
      <c r="I84" s="336"/>
      <c r="J84" s="360"/>
      <c r="K84" s="361"/>
    </row>
    <row r="85" spans="2:11">
      <c r="B85" s="363"/>
      <c r="J85" s="360"/>
      <c r="K85" s="364">
        <v>4138.3999999999996</v>
      </c>
    </row>
    <row r="86" spans="2:11">
      <c r="B86" s="363"/>
      <c r="C86" s="365" t="s">
        <v>786</v>
      </c>
      <c r="D86" s="297" t="s">
        <v>814</v>
      </c>
      <c r="E86" s="297"/>
      <c r="F86" s="297"/>
      <c r="G86" s="297"/>
      <c r="H86" s="297"/>
      <c r="I86" s="297"/>
      <c r="J86" s="366"/>
      <c r="K86" s="364"/>
    </row>
    <row r="87" spans="2:11">
      <c r="B87" s="363"/>
      <c r="D87" s="297" t="s">
        <v>787</v>
      </c>
      <c r="E87" s="297"/>
      <c r="F87" s="297"/>
      <c r="G87" s="297"/>
      <c r="H87" s="297"/>
      <c r="I87" s="297"/>
      <c r="J87" s="366"/>
      <c r="K87" s="364">
        <v>750.6</v>
      </c>
    </row>
    <row r="88" spans="2:11">
      <c r="B88" s="363"/>
      <c r="C88" s="365" t="s">
        <v>788</v>
      </c>
      <c r="D88" s="367" t="s">
        <v>789</v>
      </c>
      <c r="E88" s="368" t="e">
        <f>I43</f>
        <v>#REF!</v>
      </c>
      <c r="F88" s="369" t="s">
        <v>790</v>
      </c>
      <c r="G88" s="370">
        <f>J82</f>
        <v>69.164489000000003</v>
      </c>
      <c r="H88" s="336" t="s">
        <v>791</v>
      </c>
      <c r="J88" s="360"/>
      <c r="K88" s="364"/>
    </row>
    <row r="89" spans="2:11">
      <c r="B89" s="363"/>
      <c r="E89" s="371">
        <v>100</v>
      </c>
      <c r="J89" s="360"/>
      <c r="K89" s="364">
        <v>814.5</v>
      </c>
    </row>
    <row r="90" spans="2:11" ht="14.25" thickBot="1">
      <c r="B90" s="363"/>
      <c r="C90" s="365" t="s">
        <v>788</v>
      </c>
      <c r="D90" s="372" t="e">
        <f>ROUND((0.966*I43*G88/100),2)</f>
        <v>#REF!</v>
      </c>
      <c r="E90" s="373"/>
      <c r="J90" s="360"/>
      <c r="K90" s="364"/>
    </row>
    <row r="91" spans="2:11" s="298" customFormat="1" ht="14.25" thickBot="1">
      <c r="B91" s="296"/>
      <c r="C91" s="305"/>
      <c r="D91" s="305"/>
      <c r="E91" s="305"/>
      <c r="F91" s="305"/>
      <c r="G91" s="305"/>
      <c r="H91" s="305"/>
      <c r="I91" s="305"/>
      <c r="J91" s="306"/>
      <c r="K91" s="344">
        <v>925.4</v>
      </c>
    </row>
    <row r="92" spans="2:11" s="362" customFormat="1" ht="6" customHeight="1">
      <c r="B92" s="726"/>
      <c r="C92" s="727"/>
      <c r="D92" s="727"/>
      <c r="E92" s="727"/>
      <c r="F92" s="727"/>
      <c r="G92" s="727"/>
      <c r="H92" s="727"/>
      <c r="I92" s="727"/>
      <c r="J92" s="728"/>
    </row>
    <row r="93" spans="2:11">
      <c r="B93" s="302" t="s">
        <v>99</v>
      </c>
      <c r="C93" s="359" t="s">
        <v>792</v>
      </c>
      <c r="D93" s="305"/>
      <c r="E93" s="305"/>
      <c r="F93" s="305"/>
      <c r="J93" s="360"/>
    </row>
    <row r="94" spans="2:11">
      <c r="B94" s="374"/>
      <c r="C94" s="732" t="s">
        <v>812</v>
      </c>
      <c r="D94" s="733"/>
      <c r="E94" s="732" t="s">
        <v>793</v>
      </c>
      <c r="F94" s="734"/>
      <c r="G94" s="734"/>
      <c r="H94" s="733"/>
      <c r="I94" s="732"/>
      <c r="J94" s="733"/>
    </row>
    <row r="95" spans="2:11" ht="24">
      <c r="B95" s="375"/>
      <c r="C95" s="376" t="s">
        <v>112</v>
      </c>
      <c r="D95" s="376" t="s">
        <v>794</v>
      </c>
      <c r="E95" s="376" t="s">
        <v>795</v>
      </c>
      <c r="F95" s="735" t="s">
        <v>796</v>
      </c>
      <c r="G95" s="735"/>
      <c r="H95" s="376" t="s">
        <v>797</v>
      </c>
      <c r="I95" s="376" t="s">
        <v>798</v>
      </c>
      <c r="J95" s="376" t="s">
        <v>799</v>
      </c>
    </row>
    <row r="96" spans="2:11" ht="20.25" customHeight="1">
      <c r="B96" s="375"/>
      <c r="C96" s="377" t="s">
        <v>817</v>
      </c>
      <c r="D96" s="269" t="s">
        <v>816</v>
      </c>
      <c r="E96" s="378" t="e">
        <f>I35</f>
        <v>#REF!</v>
      </c>
      <c r="F96" s="736" t="e">
        <f>I42</f>
        <v>#REF!</v>
      </c>
      <c r="G96" s="736"/>
      <c r="H96" s="378" t="e">
        <f>E96-F96</f>
        <v>#REF!</v>
      </c>
      <c r="I96" s="379">
        <f>J82</f>
        <v>69.164489000000003</v>
      </c>
      <c r="J96" s="380" t="e">
        <f>ROUND(H96*0.966*I96/100,2)</f>
        <v>#REF!</v>
      </c>
    </row>
    <row r="97" spans="2:11" ht="20.25" customHeight="1">
      <c r="B97" s="375"/>
      <c r="C97" s="381"/>
      <c r="D97" s="270"/>
      <c r="E97" s="382"/>
      <c r="F97" s="716"/>
      <c r="G97" s="716"/>
      <c r="H97" s="382"/>
      <c r="I97" s="383"/>
      <c r="J97" s="382"/>
    </row>
    <row r="98" spans="2:11" s="385" customFormat="1" ht="20.25" customHeight="1">
      <c r="B98" s="375"/>
      <c r="C98" s="381"/>
      <c r="D98" s="270"/>
      <c r="E98" s="382"/>
      <c r="F98" s="716"/>
      <c r="G98" s="716"/>
      <c r="H98" s="382"/>
      <c r="I98" s="383"/>
      <c r="J98" s="384"/>
      <c r="K98" s="336"/>
    </row>
    <row r="99" spans="2:11" s="386" customFormat="1" ht="20.25" customHeight="1">
      <c r="B99" s="375"/>
      <c r="C99" s="381"/>
      <c r="D99" s="270"/>
      <c r="E99" s="382"/>
      <c r="F99" s="716"/>
      <c r="G99" s="716"/>
      <c r="H99" s="382"/>
      <c r="I99" s="383"/>
      <c r="J99" s="384"/>
      <c r="K99" s="336"/>
    </row>
    <row r="100" spans="2:11" s="386" customFormat="1" ht="20.25" customHeight="1">
      <c r="B100" s="375"/>
      <c r="C100" s="381"/>
      <c r="D100" s="270"/>
      <c r="E100" s="382"/>
      <c r="F100" s="716"/>
      <c r="G100" s="716"/>
      <c r="H100" s="382"/>
      <c r="I100" s="383"/>
      <c r="J100" s="382"/>
      <c r="K100" s="336"/>
    </row>
    <row r="101" spans="2:11" s="386" customFormat="1" ht="20.25" customHeight="1">
      <c r="B101" s="375"/>
      <c r="C101" s="381"/>
      <c r="D101" s="270"/>
      <c r="E101" s="382"/>
      <c r="F101" s="716"/>
      <c r="G101" s="716"/>
      <c r="H101" s="382"/>
      <c r="I101" s="383"/>
      <c r="J101" s="382"/>
      <c r="K101" s="336"/>
    </row>
    <row r="102" spans="2:11" ht="20.25" customHeight="1">
      <c r="B102" s="387"/>
      <c r="C102" s="713" t="s">
        <v>792</v>
      </c>
      <c r="D102" s="714"/>
      <c r="E102" s="714"/>
      <c r="F102" s="714"/>
      <c r="G102" s="714"/>
      <c r="H102" s="714"/>
      <c r="I102" s="715"/>
      <c r="J102" s="388" t="e">
        <f>SUM(J96:J101)</f>
        <v>#REF!</v>
      </c>
      <c r="K102" s="389" t="e">
        <f>J102-#REF!-#REF!+#REF!</f>
        <v>#REF!</v>
      </c>
    </row>
    <row r="103" spans="2:11" s="362" customFormat="1" ht="21.75" customHeight="1">
      <c r="B103" s="363"/>
      <c r="C103" s="390"/>
      <c r="D103" s="390"/>
      <c r="E103" s="390"/>
      <c r="F103" s="390"/>
      <c r="G103" s="390"/>
      <c r="H103" s="390"/>
      <c r="I103" s="390"/>
      <c r="J103" s="391"/>
    </row>
    <row r="104" spans="2:11">
      <c r="B104" s="392"/>
      <c r="C104" s="58"/>
      <c r="D104" s="58"/>
      <c r="E104" s="58"/>
      <c r="F104" s="334"/>
      <c r="G104" s="334"/>
      <c r="H104" s="61"/>
      <c r="I104" s="335"/>
      <c r="J104" s="393"/>
    </row>
    <row r="105" spans="2:11" s="298" customFormat="1">
      <c r="B105" s="260" t="s">
        <v>66</v>
      </c>
      <c r="J105" s="261" t="s">
        <v>68</v>
      </c>
    </row>
    <row r="106" spans="2:11" ht="32.25" customHeight="1">
      <c r="B106" s="262"/>
      <c r="C106" s="58"/>
      <c r="D106" s="58"/>
      <c r="E106" s="58"/>
      <c r="F106" s="334"/>
      <c r="G106" s="334"/>
      <c r="H106" s="61"/>
      <c r="I106" s="335"/>
      <c r="J106" s="263"/>
    </row>
    <row r="107" spans="2:11">
      <c r="B107" s="264" t="s">
        <v>69</v>
      </c>
      <c r="C107" s="58"/>
      <c r="D107" s="58"/>
      <c r="E107" s="58"/>
      <c r="F107" s="334"/>
      <c r="G107" s="334"/>
      <c r="H107" s="61"/>
      <c r="I107" s="335"/>
      <c r="J107" s="265" t="s">
        <v>71</v>
      </c>
    </row>
    <row r="108" spans="2:11">
      <c r="B108" s="266" t="s">
        <v>67</v>
      </c>
      <c r="C108" s="337"/>
      <c r="D108" s="337"/>
      <c r="E108" s="337"/>
      <c r="F108" s="338"/>
      <c r="G108" s="338"/>
      <c r="H108" s="337"/>
      <c r="I108" s="339"/>
      <c r="J108" s="267" t="s">
        <v>70</v>
      </c>
    </row>
    <row r="109" spans="2:11">
      <c r="C109" s="394"/>
      <c r="D109" s="395"/>
      <c r="E109" s="395"/>
    </row>
    <row r="110" spans="2:11">
      <c r="C110" s="396"/>
      <c r="D110" s="396"/>
      <c r="E110" s="396"/>
    </row>
    <row r="111" spans="2:11">
      <c r="C111" s="396"/>
      <c r="D111" s="396"/>
      <c r="E111" s="396"/>
    </row>
    <row r="112" spans="2:11">
      <c r="C112" s="397"/>
      <c r="D112" s="397"/>
      <c r="E112" s="397"/>
    </row>
  </sheetData>
  <mergeCells count="64">
    <mergeCell ref="D39:G39"/>
    <mergeCell ref="C10:D10"/>
    <mergeCell ref="D32:G32"/>
    <mergeCell ref="D33:G33"/>
    <mergeCell ref="D34:G34"/>
    <mergeCell ref="D35:G35"/>
    <mergeCell ref="D36:G36"/>
    <mergeCell ref="D37:G37"/>
    <mergeCell ref="D38:G38"/>
    <mergeCell ref="D40:G40"/>
    <mergeCell ref="D41:G41"/>
    <mergeCell ref="D42:G42"/>
    <mergeCell ref="C63:C65"/>
    <mergeCell ref="D63:E65"/>
    <mergeCell ref="F63:G65"/>
    <mergeCell ref="H63:I63"/>
    <mergeCell ref="J63:J65"/>
    <mergeCell ref="H64:H65"/>
    <mergeCell ref="I64:I65"/>
    <mergeCell ref="D66:E66"/>
    <mergeCell ref="F66:G66"/>
    <mergeCell ref="D67:E67"/>
    <mergeCell ref="F67:G67"/>
    <mergeCell ref="D68:E68"/>
    <mergeCell ref="F68:G68"/>
    <mergeCell ref="D69:E69"/>
    <mergeCell ref="F69:G69"/>
    <mergeCell ref="D70:E70"/>
    <mergeCell ref="F70:G70"/>
    <mergeCell ref="D71:E71"/>
    <mergeCell ref="F71:G71"/>
    <mergeCell ref="D72:E72"/>
    <mergeCell ref="F72:G72"/>
    <mergeCell ref="D73:E73"/>
    <mergeCell ref="F73:G73"/>
    <mergeCell ref="D74:E74"/>
    <mergeCell ref="F74:G74"/>
    <mergeCell ref="D75:E75"/>
    <mergeCell ref="F75:G75"/>
    <mergeCell ref="D76:E76"/>
    <mergeCell ref="F76:G76"/>
    <mergeCell ref="D77:E77"/>
    <mergeCell ref="F77:G77"/>
    <mergeCell ref="D78:E78"/>
    <mergeCell ref="F78:G78"/>
    <mergeCell ref="F97:G97"/>
    <mergeCell ref="D79:E79"/>
    <mergeCell ref="F79:G79"/>
    <mergeCell ref="D81:E81"/>
    <mergeCell ref="F81:G81"/>
    <mergeCell ref="C82:I82"/>
    <mergeCell ref="B92:J92"/>
    <mergeCell ref="D80:E80"/>
    <mergeCell ref="F80:G80"/>
    <mergeCell ref="C94:D94"/>
    <mergeCell ref="E94:H94"/>
    <mergeCell ref="I94:J94"/>
    <mergeCell ref="F95:G95"/>
    <mergeCell ref="F96:G96"/>
    <mergeCell ref="C102:I102"/>
    <mergeCell ref="F98:G98"/>
    <mergeCell ref="F99:G99"/>
    <mergeCell ref="F100:G100"/>
    <mergeCell ref="F101:G101"/>
  </mergeCells>
  <printOptions horizontalCentered="1"/>
  <pageMargins left="0.4" right="0" top="0.55118110236220474" bottom="0.39370078740157483" header="0.31496062992125984" footer="0.11811023622047245"/>
  <pageSetup paperSize="9" scale="87" orientation="portrait" r:id="rId1"/>
  <headerFooter>
    <oddFooter>Page &amp;P of &amp;N</oddFooter>
  </headerFooter>
  <rowBreaks count="1" manualBreakCount="1">
    <brk id="60"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2E573-E7F7-4C83-8475-22B91DB181F3}">
  <dimension ref="A1:I413"/>
  <sheetViews>
    <sheetView view="pageBreakPreview" topLeftCell="A232" zoomScale="80" zoomScaleSheetLayoutView="80" workbookViewId="0">
      <selection activeCell="G241" sqref="G241"/>
    </sheetView>
  </sheetViews>
  <sheetFormatPr defaultRowHeight="12.75"/>
  <cols>
    <col min="1" max="1" width="5.66015625" style="82" customWidth="1"/>
    <col min="2" max="2" width="9.84375" style="83" customWidth="1"/>
    <col min="3" max="3" width="43.15234375" style="83" customWidth="1"/>
    <col min="4" max="4" width="6.7421875" style="82" customWidth="1"/>
    <col min="5" max="5" width="9.84375" style="84" bestFit="1" customWidth="1"/>
    <col min="6" max="6" width="13.484375" style="85" bestFit="1" customWidth="1"/>
    <col min="7" max="7" width="23.328125" style="85" customWidth="1"/>
    <col min="9" max="9" width="12.26953125" bestFit="1" customWidth="1"/>
  </cols>
  <sheetData>
    <row r="1" spans="1:7" s="29" customFormat="1" ht="16.899999999999999" customHeight="1">
      <c r="A1" s="47" t="s">
        <v>51</v>
      </c>
      <c r="B1" s="47"/>
      <c r="C1" s="48" t="str">
        <f>'Bill 1'!C1</f>
        <v>:MISCELLANEOUS FOREIGN AIDED PROJECT</v>
      </c>
      <c r="D1" s="47"/>
      <c r="E1" s="47"/>
      <c r="F1" s="47"/>
      <c r="G1" s="47"/>
    </row>
    <row r="2" spans="1:7" s="29" customFormat="1" ht="16.899999999999999" customHeight="1">
      <c r="A2" s="47" t="s">
        <v>52</v>
      </c>
      <c r="B2" s="47"/>
      <c r="C2" s="48" t="str">
        <f>'Bill 1'!C2</f>
        <v>REHABILITATION OF THE A-017 ROAD CORRIDOR PROJECT (SURIYAKANDA - RAKWANA)</v>
      </c>
      <c r="D2" s="47"/>
      <c r="E2" s="47"/>
      <c r="F2" s="47"/>
      <c r="G2" s="47"/>
    </row>
    <row r="3" spans="1:7" s="29" customFormat="1" ht="16.899999999999999" customHeight="1">
      <c r="A3" s="47" t="s">
        <v>52</v>
      </c>
      <c r="B3" s="47"/>
      <c r="C3" s="48" t="str">
        <f>'Bill 1'!C3</f>
        <v>FUNDED BY OPEC FUND FOR INTERNATIONAL DEVELOPMENT (OFID)</v>
      </c>
      <c r="D3" s="47"/>
      <c r="E3" s="47"/>
      <c r="F3" s="47"/>
      <c r="G3" s="47"/>
    </row>
    <row r="4" spans="1:7" s="29" customFormat="1" ht="16.899999999999999" customHeight="1">
      <c r="A4" s="47"/>
      <c r="B4" s="47"/>
      <c r="C4" s="48" t="str">
        <f>'Bill 1'!C4</f>
        <v>SECTION FROM CH. 112+600 KM TO CH. 118+600 KM</v>
      </c>
      <c r="D4" s="47"/>
      <c r="E4" s="47"/>
      <c r="F4" s="47"/>
      <c r="G4" s="47"/>
    </row>
    <row r="5" spans="1:7" s="29" customFormat="1" ht="5.25" customHeight="1">
      <c r="A5" s="47"/>
      <c r="B5" s="47"/>
      <c r="C5" s="48"/>
      <c r="D5" s="47"/>
      <c r="E5" s="47"/>
      <c r="F5" s="47"/>
      <c r="G5" s="47"/>
    </row>
    <row r="6" spans="1:7" s="29" customFormat="1" ht="16.899999999999999" customHeight="1">
      <c r="A6" s="47" t="s">
        <v>53</v>
      </c>
      <c r="B6" s="47"/>
      <c r="C6" s="48" t="str">
        <f>'Bill 1'!C6</f>
        <v>:RDA/MFAP/ICB/OFID-04(A)</v>
      </c>
      <c r="D6" s="47"/>
      <c r="E6" s="47"/>
      <c r="F6" s="47"/>
      <c r="G6" s="47"/>
    </row>
    <row r="7" spans="1:7" s="29" customFormat="1" ht="15.95" customHeight="1">
      <c r="A7" s="48"/>
      <c r="B7" s="47"/>
      <c r="C7" s="47"/>
      <c r="D7" s="51"/>
      <c r="E7" s="51"/>
      <c r="F7" s="51"/>
      <c r="G7" s="51"/>
    </row>
    <row r="8" spans="1:7" s="29" customFormat="1" ht="8.25" customHeight="1">
      <c r="A8" s="2"/>
      <c r="B8" s="3"/>
      <c r="C8" s="3"/>
      <c r="D8" s="4"/>
      <c r="E8" s="4"/>
      <c r="F8" s="4"/>
      <c r="G8" s="4"/>
    </row>
    <row r="9" spans="1:7" s="29" customFormat="1" ht="21" customHeight="1">
      <c r="A9" s="125" t="s">
        <v>261</v>
      </c>
      <c r="B9" s="88"/>
      <c r="C9" s="88"/>
      <c r="D9" s="35"/>
      <c r="E9" s="35"/>
      <c r="F9" s="35"/>
      <c r="G9" s="35"/>
    </row>
    <row r="10" spans="1:7" s="29" customFormat="1" ht="16.5" customHeight="1">
      <c r="A10" s="695"/>
      <c r="B10" s="695"/>
      <c r="C10" s="695"/>
      <c r="D10" s="696" t="s">
        <v>56</v>
      </c>
      <c r="E10" s="697"/>
      <c r="F10" s="697"/>
      <c r="G10" s="698"/>
    </row>
    <row r="11" spans="1:7" s="29" customFormat="1" ht="16.5" customHeight="1">
      <c r="A11" s="699" t="s">
        <v>138</v>
      </c>
      <c r="B11" s="699"/>
      <c r="C11" s="699" t="s">
        <v>74</v>
      </c>
      <c r="D11" s="699" t="s">
        <v>139</v>
      </c>
      <c r="E11" s="699" t="s">
        <v>140</v>
      </c>
      <c r="F11" s="699" t="s">
        <v>141</v>
      </c>
      <c r="G11" s="699" t="s">
        <v>57</v>
      </c>
    </row>
    <row r="12" spans="1:7" s="29" customFormat="1" ht="16.5" customHeight="1">
      <c r="A12" s="87" t="s">
        <v>0</v>
      </c>
      <c r="B12" s="87" t="s">
        <v>1</v>
      </c>
      <c r="C12" s="699"/>
      <c r="D12" s="699"/>
      <c r="E12" s="699"/>
      <c r="F12" s="699"/>
      <c r="G12" s="699"/>
    </row>
    <row r="13" spans="1:7" ht="13.5">
      <c r="A13" s="89">
        <v>6.1</v>
      </c>
      <c r="B13" s="91"/>
      <c r="C13" s="89" t="s">
        <v>262</v>
      </c>
      <c r="D13" s="90"/>
      <c r="E13" s="90"/>
      <c r="F13" s="91"/>
      <c r="G13" s="94"/>
    </row>
    <row r="14" spans="1:7" ht="15" customHeight="1">
      <c r="A14" s="6">
        <v>1</v>
      </c>
      <c r="B14" s="6" t="s">
        <v>263</v>
      </c>
      <c r="C14" s="153" t="s">
        <v>264</v>
      </c>
      <c r="D14" s="6" t="s">
        <v>130</v>
      </c>
      <c r="E14" s="9">
        <v>3456</v>
      </c>
      <c r="F14" s="127">
        <v>5313.61</v>
      </c>
      <c r="G14" s="127">
        <f>E14*F14</f>
        <v>18363836.16</v>
      </c>
    </row>
    <row r="15" spans="1:7" ht="15" customHeight="1">
      <c r="A15" s="10">
        <v>2</v>
      </c>
      <c r="B15" s="10" t="s">
        <v>265</v>
      </c>
      <c r="C15" s="21" t="s">
        <v>266</v>
      </c>
      <c r="D15" s="10" t="s">
        <v>130</v>
      </c>
      <c r="E15" s="13">
        <v>1728</v>
      </c>
      <c r="F15" s="130">
        <v>6199.21</v>
      </c>
      <c r="G15" s="130">
        <f>E15*F15</f>
        <v>10712234.880000001</v>
      </c>
    </row>
    <row r="16" spans="1:7" ht="15" customHeight="1">
      <c r="A16" s="98">
        <v>3</v>
      </c>
      <c r="B16" s="98" t="s">
        <v>267</v>
      </c>
      <c r="C16" s="21" t="s">
        <v>268</v>
      </c>
      <c r="D16" s="98" t="s">
        <v>130</v>
      </c>
      <c r="E16" s="101">
        <v>311</v>
      </c>
      <c r="F16" s="130">
        <v>3542.41</v>
      </c>
      <c r="G16" s="130">
        <f t="shared" ref="G16:G34" si="0">E16*F16</f>
        <v>1101689.51</v>
      </c>
    </row>
    <row r="17" spans="1:7" ht="15" customHeight="1">
      <c r="A17" s="10">
        <v>4</v>
      </c>
      <c r="B17" s="98" t="s">
        <v>269</v>
      </c>
      <c r="C17" s="21" t="s">
        <v>270</v>
      </c>
      <c r="D17" s="98" t="s">
        <v>271</v>
      </c>
      <c r="E17" s="101">
        <v>600</v>
      </c>
      <c r="F17" s="130">
        <v>2214</v>
      </c>
      <c r="G17" s="130">
        <f t="shared" si="0"/>
        <v>1328400</v>
      </c>
    </row>
    <row r="18" spans="1:7" ht="15" customHeight="1">
      <c r="A18" s="10">
        <v>5</v>
      </c>
      <c r="B18" s="98" t="s">
        <v>272</v>
      </c>
      <c r="C18" s="21" t="s">
        <v>437</v>
      </c>
      <c r="D18" s="98" t="s">
        <v>271</v>
      </c>
      <c r="E18" s="101">
        <v>150</v>
      </c>
      <c r="F18" s="130">
        <v>13284.02</v>
      </c>
      <c r="G18" s="130">
        <f t="shared" si="0"/>
        <v>1992603</v>
      </c>
    </row>
    <row r="19" spans="1:7" ht="15" customHeight="1">
      <c r="A19" s="10">
        <v>6</v>
      </c>
      <c r="B19" s="98" t="s">
        <v>273</v>
      </c>
      <c r="C19" s="21" t="s">
        <v>438</v>
      </c>
      <c r="D19" s="98" t="s">
        <v>271</v>
      </c>
      <c r="E19" s="101">
        <v>150</v>
      </c>
      <c r="F19" s="130">
        <v>17712.03</v>
      </c>
      <c r="G19" s="130">
        <f t="shared" si="0"/>
        <v>2656804.5</v>
      </c>
    </row>
    <row r="20" spans="1:7" ht="15" customHeight="1">
      <c r="A20" s="10">
        <v>7</v>
      </c>
      <c r="B20" s="98" t="s">
        <v>274</v>
      </c>
      <c r="C20" s="21" t="s">
        <v>439</v>
      </c>
      <c r="D20" s="98" t="s">
        <v>271</v>
      </c>
      <c r="E20" s="101">
        <v>150</v>
      </c>
      <c r="F20" s="130">
        <v>22582.84</v>
      </c>
      <c r="G20" s="130">
        <f t="shared" si="0"/>
        <v>3387426</v>
      </c>
    </row>
    <row r="21" spans="1:7" ht="15" customHeight="1">
      <c r="A21" s="10">
        <v>8</v>
      </c>
      <c r="B21" s="98" t="s">
        <v>275</v>
      </c>
      <c r="C21" s="21" t="s">
        <v>276</v>
      </c>
      <c r="D21" s="98" t="s">
        <v>130</v>
      </c>
      <c r="E21" s="101">
        <v>1080</v>
      </c>
      <c r="F21" s="130">
        <v>24354.04</v>
      </c>
      <c r="G21" s="130">
        <f t="shared" si="0"/>
        <v>26302363.199999999</v>
      </c>
    </row>
    <row r="22" spans="1:7" ht="15" customHeight="1">
      <c r="A22" s="10">
        <v>9</v>
      </c>
      <c r="B22" s="98" t="s">
        <v>277</v>
      </c>
      <c r="C22" s="21" t="s">
        <v>278</v>
      </c>
      <c r="D22" s="98" t="s">
        <v>130</v>
      </c>
      <c r="E22" s="101">
        <v>100</v>
      </c>
      <c r="F22" s="130">
        <v>23025.64</v>
      </c>
      <c r="G22" s="130">
        <f t="shared" si="0"/>
        <v>2302564</v>
      </c>
    </row>
    <row r="23" spans="1:7" ht="15" customHeight="1">
      <c r="A23" s="10">
        <v>10</v>
      </c>
      <c r="B23" s="98" t="s">
        <v>279</v>
      </c>
      <c r="C23" s="21" t="s">
        <v>280</v>
      </c>
      <c r="D23" s="98" t="s">
        <v>130</v>
      </c>
      <c r="E23" s="101">
        <v>900</v>
      </c>
      <c r="F23" s="130">
        <v>20811.64</v>
      </c>
      <c r="G23" s="130">
        <f t="shared" si="0"/>
        <v>18730476</v>
      </c>
    </row>
    <row r="24" spans="1:7" ht="15" customHeight="1">
      <c r="A24" s="10">
        <v>11</v>
      </c>
      <c r="B24" s="98" t="s">
        <v>253</v>
      </c>
      <c r="C24" s="21" t="s">
        <v>281</v>
      </c>
      <c r="D24" s="98" t="s">
        <v>282</v>
      </c>
      <c r="E24" s="101">
        <v>120</v>
      </c>
      <c r="F24" s="130">
        <v>287820.53000000003</v>
      </c>
      <c r="G24" s="130">
        <f t="shared" si="0"/>
        <v>34538463.600000001</v>
      </c>
    </row>
    <row r="25" spans="1:7" ht="15" customHeight="1">
      <c r="A25" s="10">
        <v>12</v>
      </c>
      <c r="B25" s="98" t="s">
        <v>253</v>
      </c>
      <c r="C25" s="21" t="s">
        <v>283</v>
      </c>
      <c r="D25" s="98" t="s">
        <v>282</v>
      </c>
      <c r="E25" s="101">
        <v>20</v>
      </c>
      <c r="F25" s="130">
        <v>265680.49</v>
      </c>
      <c r="G25" s="130">
        <f t="shared" si="0"/>
        <v>5313609.8</v>
      </c>
    </row>
    <row r="26" spans="1:7" ht="15" customHeight="1">
      <c r="A26" s="10">
        <v>13</v>
      </c>
      <c r="B26" s="98" t="s">
        <v>257</v>
      </c>
      <c r="C26" s="21" t="s">
        <v>284</v>
      </c>
      <c r="D26" s="98" t="s">
        <v>109</v>
      </c>
      <c r="E26" s="101">
        <v>4800</v>
      </c>
      <c r="F26" s="130">
        <v>1948.32</v>
      </c>
      <c r="G26" s="130">
        <f t="shared" si="0"/>
        <v>9351936</v>
      </c>
    </row>
    <row r="27" spans="1:7" ht="15" customHeight="1">
      <c r="A27" s="10">
        <v>14</v>
      </c>
      <c r="B27" s="98" t="s">
        <v>255</v>
      </c>
      <c r="C27" s="21" t="s">
        <v>256</v>
      </c>
      <c r="D27" s="98" t="s">
        <v>109</v>
      </c>
      <c r="E27" s="101">
        <v>3600</v>
      </c>
      <c r="F27" s="130">
        <v>1948.32</v>
      </c>
      <c r="G27" s="130">
        <f t="shared" si="0"/>
        <v>7013952</v>
      </c>
    </row>
    <row r="28" spans="1:7" ht="15" customHeight="1">
      <c r="A28" s="10">
        <v>15</v>
      </c>
      <c r="B28" s="98" t="s">
        <v>285</v>
      </c>
      <c r="C28" s="21" t="s">
        <v>286</v>
      </c>
      <c r="D28" s="98" t="s">
        <v>17</v>
      </c>
      <c r="E28" s="101">
        <v>30</v>
      </c>
      <c r="F28" s="130">
        <v>1771.2</v>
      </c>
      <c r="G28" s="130">
        <f t="shared" si="0"/>
        <v>53136</v>
      </c>
    </row>
    <row r="29" spans="1:7" ht="24">
      <c r="A29" s="10">
        <v>16</v>
      </c>
      <c r="B29" s="98" t="s">
        <v>287</v>
      </c>
      <c r="C29" s="21" t="s">
        <v>288</v>
      </c>
      <c r="D29" s="98" t="s">
        <v>109</v>
      </c>
      <c r="E29" s="101">
        <v>720</v>
      </c>
      <c r="F29" s="130">
        <v>2214</v>
      </c>
      <c r="G29" s="130">
        <f t="shared" si="0"/>
        <v>1594080</v>
      </c>
    </row>
    <row r="30" spans="1:7" ht="15" customHeight="1">
      <c r="A30" s="10">
        <v>17</v>
      </c>
      <c r="B30" s="98" t="s">
        <v>289</v>
      </c>
      <c r="C30" s="21" t="s">
        <v>290</v>
      </c>
      <c r="D30" s="98" t="s">
        <v>17</v>
      </c>
      <c r="E30" s="101">
        <v>60</v>
      </c>
      <c r="F30" s="130">
        <v>2656.8</v>
      </c>
      <c r="G30" s="130">
        <f t="shared" si="0"/>
        <v>159408</v>
      </c>
    </row>
    <row r="31" spans="1:7" ht="15" customHeight="1">
      <c r="A31" s="10">
        <v>18</v>
      </c>
      <c r="B31" s="98" t="s">
        <v>291</v>
      </c>
      <c r="C31" s="21" t="s">
        <v>292</v>
      </c>
      <c r="D31" s="98" t="s">
        <v>184</v>
      </c>
      <c r="E31" s="101">
        <v>100</v>
      </c>
      <c r="F31" s="130">
        <v>13284.02</v>
      </c>
      <c r="G31" s="130">
        <f t="shared" si="0"/>
        <v>1328402</v>
      </c>
    </row>
    <row r="32" spans="1:7" ht="24">
      <c r="A32" s="10">
        <v>19</v>
      </c>
      <c r="B32" s="98" t="s">
        <v>293</v>
      </c>
      <c r="C32" s="21" t="s">
        <v>294</v>
      </c>
      <c r="D32" s="98" t="s">
        <v>184</v>
      </c>
      <c r="E32" s="101">
        <v>300</v>
      </c>
      <c r="F32" s="130">
        <v>6199.21</v>
      </c>
      <c r="G32" s="130">
        <f t="shared" si="0"/>
        <v>1859763</v>
      </c>
    </row>
    <row r="33" spans="1:7" ht="15" customHeight="1">
      <c r="A33" s="10">
        <v>20</v>
      </c>
      <c r="B33" s="98" t="s">
        <v>295</v>
      </c>
      <c r="C33" s="21" t="s">
        <v>296</v>
      </c>
      <c r="D33" s="98" t="s">
        <v>109</v>
      </c>
      <c r="E33" s="101">
        <v>200</v>
      </c>
      <c r="F33" s="130">
        <v>1771.2</v>
      </c>
      <c r="G33" s="130">
        <f t="shared" si="0"/>
        <v>354240</v>
      </c>
    </row>
    <row r="34" spans="1:7" ht="15" customHeight="1">
      <c r="A34" s="10">
        <v>21</v>
      </c>
      <c r="B34" s="98" t="s">
        <v>297</v>
      </c>
      <c r="C34" s="21" t="s">
        <v>298</v>
      </c>
      <c r="D34" s="98" t="s">
        <v>8</v>
      </c>
      <c r="E34" s="101">
        <v>1</v>
      </c>
      <c r="F34" s="130">
        <v>2656804.9</v>
      </c>
      <c r="G34" s="130">
        <f t="shared" si="0"/>
        <v>2656804.9</v>
      </c>
    </row>
    <row r="35" spans="1:7" ht="15" customHeight="1">
      <c r="A35" s="506"/>
      <c r="B35" s="507"/>
      <c r="C35" s="508"/>
      <c r="D35" s="507"/>
      <c r="E35" s="509"/>
      <c r="F35" s="510"/>
      <c r="G35" s="510"/>
    </row>
    <row r="36" spans="1:7" ht="15" customHeight="1">
      <c r="A36" s="506"/>
      <c r="B36" s="507"/>
      <c r="C36" s="508"/>
      <c r="D36" s="507"/>
      <c r="E36" s="509"/>
      <c r="F36" s="510"/>
      <c r="G36" s="510"/>
    </row>
    <row r="37" spans="1:7" ht="15" customHeight="1">
      <c r="A37" s="506"/>
      <c r="B37" s="507"/>
      <c r="C37" s="508"/>
      <c r="D37" s="507"/>
      <c r="E37" s="509"/>
      <c r="F37" s="510"/>
      <c r="G37" s="510"/>
    </row>
    <row r="38" spans="1:7" ht="15" customHeight="1">
      <c r="A38" s="506"/>
      <c r="B38" s="507"/>
      <c r="C38" s="508"/>
      <c r="D38" s="507"/>
      <c r="E38" s="509"/>
      <c r="F38" s="510"/>
      <c r="G38" s="510"/>
    </row>
    <row r="39" spans="1:7" ht="15" customHeight="1">
      <c r="A39" s="506"/>
      <c r="B39" s="507"/>
      <c r="C39" s="508"/>
      <c r="D39" s="507"/>
      <c r="E39" s="509"/>
      <c r="F39" s="510"/>
      <c r="G39" s="510"/>
    </row>
    <row r="40" spans="1:7" ht="15" customHeight="1">
      <c r="A40" s="506"/>
      <c r="B40" s="507"/>
      <c r="C40" s="508"/>
      <c r="D40" s="507"/>
      <c r="E40" s="509"/>
      <c r="F40" s="510"/>
      <c r="G40" s="510"/>
    </row>
    <row r="41" spans="1:7" ht="15" customHeight="1">
      <c r="A41" s="506"/>
      <c r="B41" s="507"/>
      <c r="C41" s="508"/>
      <c r="D41" s="507"/>
      <c r="E41" s="509"/>
      <c r="F41" s="510"/>
      <c r="G41" s="510"/>
    </row>
    <row r="42" spans="1:7" ht="15" customHeight="1">
      <c r="A42" s="506"/>
      <c r="B42" s="507"/>
      <c r="C42" s="508"/>
      <c r="D42" s="507"/>
      <c r="E42" s="509"/>
      <c r="F42" s="510"/>
      <c r="G42" s="510"/>
    </row>
    <row r="43" spans="1:7" s="181" customFormat="1" ht="15" customHeight="1">
      <c r="A43" s="176"/>
      <c r="B43" s="177"/>
      <c r="C43" s="178"/>
      <c r="D43" s="177"/>
      <c r="E43" s="179"/>
      <c r="F43" s="180"/>
      <c r="G43" s="180"/>
    </row>
    <row r="44" spans="1:7" ht="15" customHeight="1">
      <c r="A44" s="10"/>
      <c r="B44" s="98"/>
      <c r="C44" s="21"/>
      <c r="D44" s="98"/>
      <c r="E44" s="101"/>
      <c r="F44" s="130"/>
      <c r="G44" s="130"/>
    </row>
    <row r="45" spans="1:7" ht="15" customHeight="1">
      <c r="A45" s="10"/>
      <c r="B45" s="98"/>
      <c r="C45" s="21"/>
      <c r="D45" s="98"/>
      <c r="E45" s="101"/>
      <c r="F45" s="130"/>
      <c r="G45" s="130"/>
    </row>
    <row r="46" spans="1:7" ht="15" customHeight="1">
      <c r="A46" s="98"/>
      <c r="B46" s="163"/>
      <c r="C46" s="174"/>
      <c r="D46" s="163"/>
      <c r="E46" s="101"/>
      <c r="F46" s="130"/>
      <c r="G46" s="130"/>
    </row>
    <row r="47" spans="1:7" ht="15" customHeight="1">
      <c r="A47" s="14"/>
      <c r="B47" s="165"/>
      <c r="C47" s="175"/>
      <c r="D47" s="165"/>
      <c r="E47" s="106"/>
      <c r="F47" s="138"/>
      <c r="G47" s="138"/>
    </row>
    <row r="48" spans="1:7" ht="13.5">
      <c r="A48" s="706" t="s">
        <v>557</v>
      </c>
      <c r="B48" s="706"/>
      <c r="C48" s="706"/>
      <c r="D48" s="706"/>
      <c r="E48" s="706"/>
      <c r="F48" s="706"/>
      <c r="G48" s="166">
        <f>SUM(G14:G47)</f>
        <v>151102192.55000001</v>
      </c>
    </row>
    <row r="49" spans="1:7" ht="13.5">
      <c r="A49" s="116"/>
      <c r="B49" s="116"/>
      <c r="C49" s="116"/>
      <c r="D49" s="116"/>
      <c r="E49" s="116"/>
      <c r="F49" s="116"/>
      <c r="G49" s="511"/>
    </row>
    <row r="50" spans="1:7" ht="13.5">
      <c r="A50" s="116"/>
      <c r="B50" s="116"/>
      <c r="C50" s="116"/>
      <c r="D50" s="116"/>
      <c r="E50" s="116"/>
      <c r="F50" s="116"/>
      <c r="G50" s="511"/>
    </row>
    <row r="51" spans="1:7" ht="13.5">
      <c r="A51" s="116"/>
      <c r="B51" s="116"/>
      <c r="C51" s="116"/>
      <c r="D51" s="116"/>
      <c r="E51" s="116"/>
      <c r="F51" s="116"/>
      <c r="G51" s="511"/>
    </row>
    <row r="52" spans="1:7" ht="13.5">
      <c r="A52" s="116"/>
      <c r="B52" s="116"/>
      <c r="C52" s="116"/>
      <c r="D52" s="116"/>
      <c r="E52" s="116"/>
      <c r="F52" s="116"/>
      <c r="G52" s="511"/>
    </row>
    <row r="53" spans="1:7" ht="13.5">
      <c r="A53" s="116"/>
      <c r="B53" s="116"/>
      <c r="C53" s="116"/>
      <c r="D53" s="116"/>
      <c r="E53" s="116"/>
      <c r="F53" s="116"/>
      <c r="G53" s="511"/>
    </row>
    <row r="54" spans="1:7" ht="13.5">
      <c r="A54" s="116"/>
      <c r="B54" s="116"/>
      <c r="C54" s="116"/>
      <c r="D54" s="116"/>
      <c r="E54" s="116"/>
      <c r="F54" s="116"/>
      <c r="G54" s="511"/>
    </row>
    <row r="55" spans="1:7" ht="13.5">
      <c r="A55" s="116"/>
      <c r="B55" s="116"/>
      <c r="C55" s="116"/>
      <c r="D55" s="116"/>
      <c r="E55" s="116"/>
      <c r="F55" s="116"/>
      <c r="G55" s="511"/>
    </row>
    <row r="56" spans="1:7" ht="13.5">
      <c r="A56" s="116"/>
      <c r="B56" s="116"/>
      <c r="C56" s="116"/>
      <c r="D56" s="116"/>
      <c r="E56" s="116"/>
      <c r="F56" s="116"/>
      <c r="G56" s="511"/>
    </row>
    <row r="57" spans="1:7" ht="13.5">
      <c r="A57" s="116"/>
      <c r="B57" s="116"/>
      <c r="C57" s="116"/>
      <c r="D57" s="116"/>
      <c r="E57" s="116"/>
      <c r="F57" s="116"/>
      <c r="G57" s="511"/>
    </row>
    <row r="58" spans="1:7" ht="13.5">
      <c r="A58" s="116"/>
      <c r="B58" s="116"/>
      <c r="C58" s="116"/>
      <c r="D58" s="116"/>
      <c r="E58" s="116"/>
      <c r="F58" s="116"/>
      <c r="G58" s="511"/>
    </row>
    <row r="60" spans="1:7" s="1" customFormat="1" ht="13.5">
      <c r="A60" s="116"/>
      <c r="B60" s="117"/>
      <c r="C60" s="118"/>
      <c r="D60" s="119"/>
      <c r="E60" s="119"/>
      <c r="F60" s="119"/>
      <c r="G60" s="120"/>
    </row>
    <row r="61" spans="1:7" s="1" customFormat="1" ht="23.25" customHeight="1">
      <c r="A61" s="121"/>
      <c r="B61" s="122"/>
      <c r="C61" s="122"/>
      <c r="D61" s="123"/>
      <c r="E61" s="123"/>
      <c r="F61" s="123"/>
      <c r="G61" s="121"/>
    </row>
    <row r="62" spans="1:7" s="1" customFormat="1" ht="13.5">
      <c r="A62" s="124"/>
      <c r="B62" s="117"/>
      <c r="C62" s="118"/>
      <c r="D62" s="119"/>
      <c r="E62" s="119"/>
      <c r="F62" s="119"/>
      <c r="G62" s="120"/>
    </row>
    <row r="63" spans="1:7" s="1" customFormat="1" ht="13.5">
      <c r="A63" s="116"/>
      <c r="B63" s="117"/>
      <c r="C63" s="118"/>
      <c r="D63" s="119"/>
      <c r="E63" s="119"/>
      <c r="F63" s="119"/>
      <c r="G63" s="120"/>
    </row>
    <row r="64" spans="1:7" ht="13.5">
      <c r="A64" s="706" t="s">
        <v>558</v>
      </c>
      <c r="B64" s="706"/>
      <c r="C64" s="706"/>
      <c r="D64" s="706"/>
      <c r="E64" s="706"/>
      <c r="F64" s="706"/>
      <c r="G64" s="94">
        <f>G48</f>
        <v>151102192.55000001</v>
      </c>
    </row>
    <row r="65" spans="1:7" s="181" customFormat="1" ht="15" customHeight="1">
      <c r="A65" s="182">
        <v>6.2</v>
      </c>
      <c r="B65" s="182"/>
      <c r="C65" s="183" t="s">
        <v>299</v>
      </c>
      <c r="D65" s="182"/>
      <c r="E65" s="184"/>
      <c r="F65" s="185"/>
      <c r="G65" s="185"/>
    </row>
    <row r="66" spans="1:7" ht="15" customHeight="1">
      <c r="A66" s="10">
        <v>1</v>
      </c>
      <c r="B66" s="10" t="s">
        <v>263</v>
      </c>
      <c r="C66" s="21" t="s">
        <v>264</v>
      </c>
      <c r="D66" s="10" t="s">
        <v>130</v>
      </c>
      <c r="E66" s="13">
        <v>1400</v>
      </c>
      <c r="F66" s="130">
        <v>4428.01</v>
      </c>
      <c r="G66" s="130">
        <f t="shared" ref="G66:G78" si="1">E66*F66</f>
        <v>6199214</v>
      </c>
    </row>
    <row r="67" spans="1:7" ht="15" customHeight="1">
      <c r="A67" s="98">
        <v>2</v>
      </c>
      <c r="B67" s="98" t="s">
        <v>265</v>
      </c>
      <c r="C67" s="21" t="s">
        <v>266</v>
      </c>
      <c r="D67" s="98" t="s">
        <v>130</v>
      </c>
      <c r="E67" s="101">
        <v>700</v>
      </c>
      <c r="F67" s="130">
        <v>5313.61</v>
      </c>
      <c r="G67" s="130">
        <f t="shared" si="1"/>
        <v>3719527</v>
      </c>
    </row>
    <row r="68" spans="1:7" ht="15" customHeight="1">
      <c r="A68" s="10">
        <v>3</v>
      </c>
      <c r="B68" s="98" t="s">
        <v>267</v>
      </c>
      <c r="C68" s="21" t="s">
        <v>268</v>
      </c>
      <c r="D68" s="98" t="s">
        <v>130</v>
      </c>
      <c r="E68" s="101">
        <v>700</v>
      </c>
      <c r="F68" s="130">
        <v>3542.41</v>
      </c>
      <c r="G68" s="130">
        <f t="shared" si="1"/>
        <v>2479687</v>
      </c>
    </row>
    <row r="69" spans="1:7" ht="15" customHeight="1">
      <c r="A69" s="10">
        <v>4</v>
      </c>
      <c r="B69" s="98" t="s">
        <v>269</v>
      </c>
      <c r="C69" s="21" t="s">
        <v>270</v>
      </c>
      <c r="D69" s="98" t="s">
        <v>271</v>
      </c>
      <c r="E69" s="101">
        <v>467</v>
      </c>
      <c r="F69" s="130">
        <v>2214</v>
      </c>
      <c r="G69" s="130">
        <f t="shared" si="1"/>
        <v>1033938</v>
      </c>
    </row>
    <row r="70" spans="1:7" ht="15" customHeight="1">
      <c r="A70" s="10">
        <v>5</v>
      </c>
      <c r="B70" s="98" t="s">
        <v>275</v>
      </c>
      <c r="C70" s="21" t="s">
        <v>300</v>
      </c>
      <c r="D70" s="98" t="s">
        <v>130</v>
      </c>
      <c r="E70" s="101">
        <v>2300</v>
      </c>
      <c r="F70" s="130">
        <v>23911.24</v>
      </c>
      <c r="G70" s="130">
        <f t="shared" si="1"/>
        <v>54995852</v>
      </c>
    </row>
    <row r="71" spans="1:7" ht="15" customHeight="1">
      <c r="A71" s="10">
        <v>6</v>
      </c>
      <c r="B71" s="98" t="s">
        <v>279</v>
      </c>
      <c r="C71" s="21" t="s">
        <v>301</v>
      </c>
      <c r="D71" s="98" t="s">
        <v>130</v>
      </c>
      <c r="E71" s="101">
        <v>380</v>
      </c>
      <c r="F71" s="130">
        <v>20811.64</v>
      </c>
      <c r="G71" s="130">
        <f t="shared" si="1"/>
        <v>7908423.2000000002</v>
      </c>
    </row>
    <row r="72" spans="1:7" ht="15" customHeight="1">
      <c r="A72" s="10">
        <v>7</v>
      </c>
      <c r="B72" s="98" t="s">
        <v>253</v>
      </c>
      <c r="C72" s="21" t="s">
        <v>281</v>
      </c>
      <c r="D72" s="98" t="s">
        <v>282</v>
      </c>
      <c r="E72" s="101">
        <v>190</v>
      </c>
      <c r="F72" s="130">
        <v>287820.53000000003</v>
      </c>
      <c r="G72" s="130">
        <f t="shared" si="1"/>
        <v>54685900.700000003</v>
      </c>
    </row>
    <row r="73" spans="1:7" ht="15" customHeight="1">
      <c r="A73" s="10">
        <v>8</v>
      </c>
      <c r="B73" s="98" t="s">
        <v>291</v>
      </c>
      <c r="C73" s="21" t="s">
        <v>292</v>
      </c>
      <c r="D73" s="98" t="s">
        <v>130</v>
      </c>
      <c r="E73" s="101">
        <v>600</v>
      </c>
      <c r="F73" s="130">
        <v>13284.02</v>
      </c>
      <c r="G73" s="130">
        <f t="shared" si="1"/>
        <v>7970412</v>
      </c>
    </row>
    <row r="74" spans="1:7" ht="24.75" customHeight="1">
      <c r="A74" s="10">
        <v>9</v>
      </c>
      <c r="B74" s="98" t="s">
        <v>293</v>
      </c>
      <c r="C74" s="21" t="s">
        <v>302</v>
      </c>
      <c r="D74" s="98" t="s">
        <v>130</v>
      </c>
      <c r="E74" s="101">
        <v>100</v>
      </c>
      <c r="F74" s="130">
        <v>15940.83</v>
      </c>
      <c r="G74" s="130">
        <f t="shared" si="1"/>
        <v>1594083</v>
      </c>
    </row>
    <row r="75" spans="1:7" ht="15" customHeight="1">
      <c r="A75" s="10">
        <v>10</v>
      </c>
      <c r="B75" s="98" t="s">
        <v>295</v>
      </c>
      <c r="C75" s="21" t="s">
        <v>296</v>
      </c>
      <c r="D75" s="98" t="s">
        <v>109</v>
      </c>
      <c r="E75" s="101">
        <v>500</v>
      </c>
      <c r="F75" s="130">
        <v>1771.2</v>
      </c>
      <c r="G75" s="130">
        <f t="shared" si="1"/>
        <v>885600</v>
      </c>
    </row>
    <row r="76" spans="1:7" ht="15" customHeight="1">
      <c r="A76" s="10">
        <v>11</v>
      </c>
      <c r="B76" s="98" t="s">
        <v>257</v>
      </c>
      <c r="C76" s="21" t="s">
        <v>284</v>
      </c>
      <c r="D76" s="98" t="s">
        <v>109</v>
      </c>
      <c r="E76" s="101">
        <v>6545</v>
      </c>
      <c r="F76" s="130">
        <v>1948.32</v>
      </c>
      <c r="G76" s="130">
        <f t="shared" si="1"/>
        <v>12751754.4</v>
      </c>
    </row>
    <row r="77" spans="1:7" ht="15" customHeight="1">
      <c r="A77" s="10">
        <v>12</v>
      </c>
      <c r="B77" s="98" t="s">
        <v>255</v>
      </c>
      <c r="C77" s="21" t="s">
        <v>256</v>
      </c>
      <c r="D77" s="98" t="s">
        <v>109</v>
      </c>
      <c r="E77" s="101">
        <v>5355</v>
      </c>
      <c r="F77" s="130">
        <v>1948.32</v>
      </c>
      <c r="G77" s="130">
        <f t="shared" si="1"/>
        <v>10433253.6</v>
      </c>
    </row>
    <row r="78" spans="1:7" ht="15" customHeight="1">
      <c r="A78" s="10">
        <v>13</v>
      </c>
      <c r="B78" s="98" t="s">
        <v>285</v>
      </c>
      <c r="C78" s="21" t="s">
        <v>303</v>
      </c>
      <c r="D78" s="98" t="s">
        <v>17</v>
      </c>
      <c r="E78" s="101">
        <v>200</v>
      </c>
      <c r="F78" s="130">
        <v>2656.8</v>
      </c>
      <c r="G78" s="130">
        <f t="shared" si="1"/>
        <v>531360</v>
      </c>
    </row>
    <row r="79" spans="1:7" s="181" customFormat="1" ht="15" customHeight="1">
      <c r="A79" s="176"/>
      <c r="B79" s="177"/>
      <c r="C79" s="178" t="s">
        <v>304</v>
      </c>
      <c r="D79" s="177"/>
      <c r="E79" s="179"/>
      <c r="F79" s="180"/>
      <c r="G79" s="180"/>
    </row>
    <row r="80" spans="1:7" ht="15" customHeight="1">
      <c r="A80" s="10">
        <v>14</v>
      </c>
      <c r="B80" s="98" t="s">
        <v>275</v>
      </c>
      <c r="C80" s="21" t="s">
        <v>305</v>
      </c>
      <c r="D80" s="98" t="s">
        <v>130</v>
      </c>
      <c r="E80" s="101">
        <v>135</v>
      </c>
      <c r="F80" s="130">
        <v>23025.64</v>
      </c>
      <c r="G80" s="130">
        <f t="shared" ref="G80:G85" si="2">E80*F80</f>
        <v>3108461.4</v>
      </c>
    </row>
    <row r="81" spans="1:7" ht="15" customHeight="1">
      <c r="A81" s="10">
        <v>15</v>
      </c>
      <c r="B81" s="98" t="s">
        <v>279</v>
      </c>
      <c r="C81" s="21" t="s">
        <v>306</v>
      </c>
      <c r="D81" s="98" t="s">
        <v>130</v>
      </c>
      <c r="E81" s="101">
        <v>30</v>
      </c>
      <c r="F81" s="130">
        <v>20811.64</v>
      </c>
      <c r="G81" s="130">
        <f t="shared" si="2"/>
        <v>624349.19999999995</v>
      </c>
    </row>
    <row r="82" spans="1:7" ht="15" customHeight="1">
      <c r="A82" s="10">
        <v>16</v>
      </c>
      <c r="B82" s="98" t="s">
        <v>253</v>
      </c>
      <c r="C82" s="21" t="s">
        <v>281</v>
      </c>
      <c r="D82" s="98" t="s">
        <v>282</v>
      </c>
      <c r="E82" s="101">
        <v>5</v>
      </c>
      <c r="F82" s="130">
        <v>287820.53000000003</v>
      </c>
      <c r="G82" s="130">
        <f t="shared" si="2"/>
        <v>1439102.65</v>
      </c>
    </row>
    <row r="83" spans="1:7" ht="15" customHeight="1">
      <c r="A83" s="10">
        <v>17</v>
      </c>
      <c r="B83" s="98" t="s">
        <v>307</v>
      </c>
      <c r="C83" s="21" t="s">
        <v>308</v>
      </c>
      <c r="D83" s="98" t="s">
        <v>184</v>
      </c>
      <c r="E83" s="101">
        <v>900</v>
      </c>
      <c r="F83" s="130">
        <v>17712.03</v>
      </c>
      <c r="G83" s="130">
        <f t="shared" si="2"/>
        <v>15940827</v>
      </c>
    </row>
    <row r="84" spans="1:7" ht="15" customHeight="1">
      <c r="A84" s="10">
        <v>18</v>
      </c>
      <c r="B84" s="98" t="s">
        <v>309</v>
      </c>
      <c r="C84" s="21" t="s">
        <v>310</v>
      </c>
      <c r="D84" s="98" t="s">
        <v>311</v>
      </c>
      <c r="E84" s="101">
        <v>720</v>
      </c>
      <c r="F84" s="130">
        <v>708.48</v>
      </c>
      <c r="G84" s="130">
        <f t="shared" si="2"/>
        <v>510105.59999999998</v>
      </c>
    </row>
    <row r="85" spans="1:7" ht="15" customHeight="1">
      <c r="A85" s="10">
        <v>19</v>
      </c>
      <c r="B85" s="98" t="s">
        <v>297</v>
      </c>
      <c r="C85" s="21" t="s">
        <v>298</v>
      </c>
      <c r="D85" s="98" t="s">
        <v>8</v>
      </c>
      <c r="E85" s="101">
        <v>1</v>
      </c>
      <c r="F85" s="130">
        <v>1771203.27</v>
      </c>
      <c r="G85" s="130">
        <f t="shared" si="2"/>
        <v>1771203.27</v>
      </c>
    </row>
    <row r="86" spans="1:7" ht="15" customHeight="1">
      <c r="A86" s="506"/>
      <c r="B86" s="507"/>
      <c r="C86" s="508"/>
      <c r="D86" s="507"/>
      <c r="E86" s="509"/>
      <c r="F86" s="510"/>
      <c r="G86" s="510"/>
    </row>
    <row r="87" spans="1:7" ht="15" customHeight="1">
      <c r="A87" s="506"/>
      <c r="B87" s="507"/>
      <c r="C87" s="508"/>
      <c r="D87" s="507"/>
      <c r="E87" s="509"/>
      <c r="F87" s="510"/>
      <c r="G87" s="510"/>
    </row>
    <row r="88" spans="1:7" ht="15" customHeight="1">
      <c r="A88" s="506"/>
      <c r="B88" s="507"/>
      <c r="C88" s="508"/>
      <c r="D88" s="507"/>
      <c r="E88" s="509"/>
      <c r="F88" s="510"/>
      <c r="G88" s="510"/>
    </row>
    <row r="89" spans="1:7" ht="15" customHeight="1">
      <c r="A89" s="506"/>
      <c r="B89" s="507"/>
      <c r="C89" s="508"/>
      <c r="D89" s="507"/>
      <c r="E89" s="509"/>
      <c r="F89" s="510"/>
      <c r="G89" s="510"/>
    </row>
    <row r="90" spans="1:7" ht="15" customHeight="1">
      <c r="A90" s="506"/>
      <c r="B90" s="507"/>
      <c r="C90" s="508"/>
      <c r="D90" s="507"/>
      <c r="E90" s="509"/>
      <c r="F90" s="510"/>
      <c r="G90" s="510"/>
    </row>
    <row r="91" spans="1:7" ht="15" customHeight="1">
      <c r="A91" s="506"/>
      <c r="B91" s="507"/>
      <c r="C91" s="508"/>
      <c r="D91" s="507"/>
      <c r="E91" s="509"/>
      <c r="F91" s="510"/>
      <c r="G91" s="510"/>
    </row>
    <row r="92" spans="1:7" ht="15" customHeight="1">
      <c r="A92" s="506"/>
      <c r="B92" s="507"/>
      <c r="C92" s="508"/>
      <c r="D92" s="507"/>
      <c r="E92" s="509"/>
      <c r="F92" s="510"/>
      <c r="G92" s="510"/>
    </row>
    <row r="93" spans="1:7" ht="15" customHeight="1">
      <c r="A93" s="506"/>
      <c r="B93" s="507"/>
      <c r="C93" s="508"/>
      <c r="D93" s="507"/>
      <c r="E93" s="509"/>
      <c r="F93" s="510"/>
      <c r="G93" s="510"/>
    </row>
    <row r="94" spans="1:7" ht="15" customHeight="1">
      <c r="A94" s="506"/>
      <c r="B94" s="507"/>
      <c r="C94" s="508"/>
      <c r="D94" s="507"/>
      <c r="E94" s="509"/>
      <c r="F94" s="510"/>
      <c r="G94" s="510"/>
    </row>
    <row r="95" spans="1:7" ht="15" customHeight="1">
      <c r="A95" s="10"/>
      <c r="B95" s="98"/>
      <c r="C95" s="21"/>
      <c r="D95" s="98"/>
      <c r="E95" s="101"/>
      <c r="F95" s="130"/>
      <c r="G95" s="130"/>
    </row>
    <row r="96" spans="1:7" ht="15" customHeight="1">
      <c r="A96" s="10"/>
      <c r="B96" s="163"/>
      <c r="C96" s="173"/>
      <c r="D96" s="163"/>
      <c r="E96" s="101"/>
      <c r="F96" s="130"/>
      <c r="G96" s="130"/>
    </row>
    <row r="97" spans="1:7" ht="15" customHeight="1">
      <c r="A97" s="98"/>
      <c r="B97" s="163"/>
      <c r="C97" s="174"/>
      <c r="D97" s="163"/>
      <c r="E97" s="101"/>
      <c r="F97" s="130"/>
      <c r="G97" s="130"/>
    </row>
    <row r="98" spans="1:7" ht="15" customHeight="1">
      <c r="A98" s="14"/>
      <c r="B98" s="165"/>
      <c r="C98" s="175"/>
      <c r="D98" s="165"/>
      <c r="E98" s="106"/>
      <c r="F98" s="138"/>
      <c r="G98" s="138"/>
    </row>
    <row r="99" spans="1:7" ht="13.5">
      <c r="A99" s="706" t="s">
        <v>557</v>
      </c>
      <c r="B99" s="706"/>
      <c r="C99" s="706"/>
      <c r="D99" s="706"/>
      <c r="E99" s="706"/>
      <c r="F99" s="706"/>
      <c r="G99" s="166">
        <f>SUM(G64:G98)</f>
        <v>339685246.56999999</v>
      </c>
    </row>
    <row r="110" spans="1:7" ht="13.5">
      <c r="A110" s="116"/>
      <c r="B110" s="117"/>
      <c r="C110" s="118"/>
      <c r="D110" s="119"/>
      <c r="E110" s="119"/>
      <c r="F110" s="119"/>
      <c r="G110" s="120"/>
    </row>
    <row r="111" spans="1:7" s="1" customFormat="1" ht="44.25" customHeight="1">
      <c r="A111" s="121"/>
      <c r="B111" s="122"/>
      <c r="C111" s="122"/>
      <c r="D111" s="123"/>
      <c r="E111" s="123"/>
      <c r="F111" s="123"/>
      <c r="G111" s="121"/>
    </row>
    <row r="112" spans="1:7" ht="13.5">
      <c r="A112" s="124"/>
      <c r="B112" s="117"/>
      <c r="C112" s="118"/>
      <c r="D112" s="119"/>
      <c r="E112" s="119"/>
      <c r="F112" s="119"/>
      <c r="G112" s="120"/>
    </row>
    <row r="113" spans="1:7" ht="13.5">
      <c r="A113" s="116"/>
      <c r="B113" s="117"/>
      <c r="C113" s="118"/>
      <c r="D113" s="119"/>
      <c r="E113" s="119"/>
      <c r="F113" s="119"/>
      <c r="G113" s="120"/>
    </row>
    <row r="114" spans="1:7" ht="15" customHeight="1">
      <c r="A114" s="706" t="s">
        <v>558</v>
      </c>
      <c r="B114" s="706"/>
      <c r="C114" s="706"/>
      <c r="D114" s="706"/>
      <c r="E114" s="706"/>
      <c r="F114" s="706"/>
      <c r="G114" s="94"/>
    </row>
    <row r="115" spans="1:7" s="181" customFormat="1" ht="15" customHeight="1">
      <c r="A115" s="182">
        <v>6.4</v>
      </c>
      <c r="B115" s="182"/>
      <c r="C115" s="186" t="s">
        <v>312</v>
      </c>
      <c r="D115" s="182"/>
      <c r="E115" s="184"/>
      <c r="F115" s="185"/>
      <c r="G115" s="185"/>
    </row>
    <row r="116" spans="1:7" ht="15" customHeight="1">
      <c r="A116" s="10"/>
      <c r="B116" s="10"/>
      <c r="C116" s="178" t="s">
        <v>313</v>
      </c>
      <c r="D116" s="10"/>
      <c r="E116" s="13"/>
      <c r="F116" s="130"/>
      <c r="G116" s="130"/>
    </row>
    <row r="117" spans="1:7" ht="71.25">
      <c r="A117" s="98">
        <v>1</v>
      </c>
      <c r="B117" s="98" t="s">
        <v>314</v>
      </c>
      <c r="C117" s="21" t="s">
        <v>315</v>
      </c>
      <c r="D117" s="98" t="s">
        <v>8</v>
      </c>
      <c r="E117" s="101">
        <v>1</v>
      </c>
      <c r="F117" s="130">
        <v>1771203.27</v>
      </c>
      <c r="G117" s="130">
        <f>E117*F117</f>
        <v>1771203.27</v>
      </c>
    </row>
    <row r="118" spans="1:7" s="181" customFormat="1" ht="15" customHeight="1">
      <c r="A118" s="176" t="s">
        <v>316</v>
      </c>
      <c r="B118" s="177"/>
      <c r="C118" s="178" t="s">
        <v>317</v>
      </c>
      <c r="D118" s="177"/>
      <c r="E118" s="179"/>
      <c r="F118" s="180"/>
      <c r="G118" s="180"/>
    </row>
    <row r="119" spans="1:7" s="181" customFormat="1" ht="15" customHeight="1">
      <c r="A119" s="176" t="s">
        <v>316</v>
      </c>
      <c r="B119" s="177"/>
      <c r="C119" s="178" t="s">
        <v>318</v>
      </c>
      <c r="D119" s="177"/>
      <c r="E119" s="179"/>
      <c r="F119" s="180"/>
      <c r="G119" s="180"/>
    </row>
    <row r="120" spans="1:7" s="181" customFormat="1" ht="15" customHeight="1">
      <c r="A120" s="176" t="s">
        <v>316</v>
      </c>
      <c r="B120" s="177"/>
      <c r="C120" s="178" t="s">
        <v>319</v>
      </c>
      <c r="D120" s="177"/>
      <c r="E120" s="179"/>
      <c r="F120" s="180"/>
      <c r="G120" s="180"/>
    </row>
    <row r="121" spans="1:7" ht="15" customHeight="1">
      <c r="A121" s="10">
        <v>2</v>
      </c>
      <c r="B121" s="98" t="s">
        <v>107</v>
      </c>
      <c r="C121" s="21" t="s">
        <v>319</v>
      </c>
      <c r="D121" s="98" t="s">
        <v>320</v>
      </c>
      <c r="E121" s="101">
        <v>100</v>
      </c>
      <c r="F121" s="130">
        <v>442.8</v>
      </c>
      <c r="G121" s="130">
        <f>E121*F121</f>
        <v>44280</v>
      </c>
    </row>
    <row r="122" spans="1:7" ht="15" customHeight="1">
      <c r="A122" s="10" t="s">
        <v>316</v>
      </c>
      <c r="B122" s="98"/>
      <c r="C122" s="21" t="s">
        <v>321</v>
      </c>
      <c r="D122" s="98"/>
      <c r="E122" s="101"/>
      <c r="F122" s="130"/>
      <c r="G122" s="130"/>
    </row>
    <row r="123" spans="1:7" ht="24">
      <c r="A123" s="10">
        <v>3</v>
      </c>
      <c r="B123" s="98" t="s">
        <v>178</v>
      </c>
      <c r="C123" s="21" t="s">
        <v>322</v>
      </c>
      <c r="D123" s="98" t="s">
        <v>323</v>
      </c>
      <c r="E123" s="101">
        <v>210</v>
      </c>
      <c r="F123" s="130">
        <v>3099.61</v>
      </c>
      <c r="G123" s="130">
        <f t="shared" ref="G123:G133" si="3">E123*F123</f>
        <v>650918.1</v>
      </c>
    </row>
    <row r="124" spans="1:7" ht="15" customHeight="1">
      <c r="A124" s="10">
        <v>4</v>
      </c>
      <c r="B124" s="98" t="s">
        <v>324</v>
      </c>
      <c r="C124" s="21" t="s">
        <v>325</v>
      </c>
      <c r="D124" s="98" t="s">
        <v>323</v>
      </c>
      <c r="E124" s="101">
        <v>25</v>
      </c>
      <c r="F124" s="130">
        <v>3985.21</v>
      </c>
      <c r="G124" s="130">
        <f t="shared" si="3"/>
        <v>99630.25</v>
      </c>
    </row>
    <row r="125" spans="1:7" ht="15" customHeight="1">
      <c r="A125" s="10">
        <v>5</v>
      </c>
      <c r="B125" s="98" t="s">
        <v>172</v>
      </c>
      <c r="C125" s="21" t="s">
        <v>326</v>
      </c>
      <c r="D125" s="98" t="s">
        <v>323</v>
      </c>
      <c r="E125" s="101">
        <v>20</v>
      </c>
      <c r="F125" s="130">
        <v>7084.81</v>
      </c>
      <c r="G125" s="130">
        <f t="shared" si="3"/>
        <v>141696.20000000001</v>
      </c>
    </row>
    <row r="126" spans="1:7" ht="15" customHeight="1">
      <c r="A126" s="10">
        <v>6</v>
      </c>
      <c r="B126" s="98" t="s">
        <v>176</v>
      </c>
      <c r="C126" s="21" t="s">
        <v>177</v>
      </c>
      <c r="D126" s="98" t="s">
        <v>327</v>
      </c>
      <c r="E126" s="101">
        <v>1</v>
      </c>
      <c r="F126" s="130">
        <v>442800.82</v>
      </c>
      <c r="G126" s="130">
        <f t="shared" si="3"/>
        <v>442800.82</v>
      </c>
    </row>
    <row r="127" spans="1:7" ht="24">
      <c r="A127" s="10">
        <v>7</v>
      </c>
      <c r="B127" s="98" t="s">
        <v>328</v>
      </c>
      <c r="C127" s="21" t="s">
        <v>329</v>
      </c>
      <c r="D127" s="98" t="s">
        <v>327</v>
      </c>
      <c r="E127" s="101">
        <v>1</v>
      </c>
      <c r="F127" s="130">
        <v>1328402.45</v>
      </c>
      <c r="G127" s="130">
        <f t="shared" si="3"/>
        <v>1328402.45</v>
      </c>
    </row>
    <row r="128" spans="1:7" ht="15" customHeight="1">
      <c r="A128" s="10">
        <v>8</v>
      </c>
      <c r="B128" s="98" t="s">
        <v>297</v>
      </c>
      <c r="C128" s="21" t="s">
        <v>298</v>
      </c>
      <c r="D128" s="98" t="s">
        <v>327</v>
      </c>
      <c r="E128" s="101">
        <v>1</v>
      </c>
      <c r="F128" s="130">
        <v>1771302.34</v>
      </c>
      <c r="G128" s="130">
        <f t="shared" si="3"/>
        <v>1771302.34</v>
      </c>
    </row>
    <row r="129" spans="1:7" ht="15" customHeight="1">
      <c r="A129" s="10" t="s">
        <v>316</v>
      </c>
      <c r="B129" s="98"/>
      <c r="C129" s="178" t="s">
        <v>330</v>
      </c>
      <c r="D129" s="98"/>
      <c r="E129" s="101"/>
      <c r="F129" s="130"/>
      <c r="G129" s="130">
        <f t="shared" si="3"/>
        <v>0</v>
      </c>
    </row>
    <row r="130" spans="1:7" ht="24">
      <c r="A130" s="10">
        <v>9</v>
      </c>
      <c r="B130" s="98" t="s">
        <v>275</v>
      </c>
      <c r="C130" s="21" t="s">
        <v>331</v>
      </c>
      <c r="D130" s="98" t="s">
        <v>323</v>
      </c>
      <c r="E130" s="101">
        <v>23.5</v>
      </c>
      <c r="F130" s="130">
        <v>26568.05</v>
      </c>
      <c r="G130" s="130">
        <f t="shared" si="3"/>
        <v>624349.18000000005</v>
      </c>
    </row>
    <row r="131" spans="1:7" ht="21.75" customHeight="1">
      <c r="A131" s="10">
        <v>10</v>
      </c>
      <c r="B131" s="98" t="s">
        <v>277</v>
      </c>
      <c r="C131" s="21" t="s">
        <v>332</v>
      </c>
      <c r="D131" s="98" t="s">
        <v>323</v>
      </c>
      <c r="E131" s="101">
        <v>24.5</v>
      </c>
      <c r="F131" s="130">
        <v>26568.05</v>
      </c>
      <c r="G131" s="130">
        <f t="shared" si="3"/>
        <v>650917.23</v>
      </c>
    </row>
    <row r="132" spans="1:7" ht="31.5" customHeight="1">
      <c r="A132" s="10">
        <v>11</v>
      </c>
      <c r="B132" s="98" t="s">
        <v>333</v>
      </c>
      <c r="C132" s="21" t="s">
        <v>334</v>
      </c>
      <c r="D132" s="98" t="s">
        <v>323</v>
      </c>
      <c r="E132" s="101">
        <v>7</v>
      </c>
      <c r="F132" s="130">
        <v>21254.44</v>
      </c>
      <c r="G132" s="130">
        <f t="shared" si="3"/>
        <v>148781.07999999999</v>
      </c>
    </row>
    <row r="133" spans="1:7" ht="27" customHeight="1">
      <c r="A133" s="10">
        <v>12</v>
      </c>
      <c r="B133" s="98" t="s">
        <v>335</v>
      </c>
      <c r="C133" s="21" t="s">
        <v>336</v>
      </c>
      <c r="D133" s="98" t="s">
        <v>323</v>
      </c>
      <c r="E133" s="101">
        <v>8</v>
      </c>
      <c r="F133" s="130">
        <v>24354.04</v>
      </c>
      <c r="G133" s="130">
        <f t="shared" si="3"/>
        <v>194832.32</v>
      </c>
    </row>
    <row r="134" spans="1:7" ht="15" customHeight="1">
      <c r="A134" s="706" t="s">
        <v>557</v>
      </c>
      <c r="B134" s="706"/>
      <c r="C134" s="706"/>
      <c r="D134" s="706"/>
      <c r="E134" s="706"/>
      <c r="F134" s="706"/>
      <c r="G134" s="166">
        <f>SUM(G114:G133)</f>
        <v>7869113.2400000002</v>
      </c>
    </row>
    <row r="135" spans="1:7" ht="15" customHeight="1">
      <c r="A135" s="116"/>
      <c r="B135" s="116"/>
      <c r="C135" s="116"/>
      <c r="D135" s="116"/>
      <c r="E135" s="116"/>
      <c r="F135" s="116"/>
      <c r="G135" s="511"/>
    </row>
    <row r="136" spans="1:7" ht="15" customHeight="1">
      <c r="A136" s="116"/>
      <c r="B136" s="116"/>
      <c r="C136" s="116"/>
      <c r="D136" s="116"/>
      <c r="E136" s="116"/>
      <c r="F136" s="116"/>
      <c r="G136" s="511"/>
    </row>
    <row r="137" spans="1:7" ht="15" customHeight="1">
      <c r="A137" s="116"/>
      <c r="B137" s="116"/>
      <c r="C137" s="116"/>
      <c r="D137" s="116"/>
      <c r="E137" s="116"/>
      <c r="F137" s="116"/>
      <c r="G137" s="511"/>
    </row>
    <row r="138" spans="1:7" ht="15" customHeight="1">
      <c r="A138" s="116"/>
      <c r="B138" s="116"/>
      <c r="C138" s="116"/>
      <c r="D138" s="116"/>
      <c r="E138" s="116"/>
      <c r="F138" s="116"/>
      <c r="G138" s="511"/>
    </row>
    <row r="139" spans="1:7" ht="15" customHeight="1">
      <c r="A139" s="116"/>
      <c r="B139" s="116"/>
      <c r="C139" s="116"/>
      <c r="D139" s="116"/>
      <c r="E139" s="116"/>
      <c r="F139" s="116"/>
      <c r="G139" s="511"/>
    </row>
    <row r="140" spans="1:7" ht="15" customHeight="1">
      <c r="A140" s="116"/>
      <c r="B140" s="116"/>
      <c r="C140" s="116"/>
      <c r="D140" s="116"/>
      <c r="E140" s="116"/>
      <c r="F140" s="116"/>
      <c r="G140" s="511"/>
    </row>
    <row r="141" spans="1:7" ht="15" customHeight="1">
      <c r="A141" s="116"/>
      <c r="B141" s="116"/>
      <c r="C141" s="116"/>
      <c r="D141" s="116"/>
      <c r="E141" s="116"/>
      <c r="F141" s="116"/>
      <c r="G141" s="511"/>
    </row>
    <row r="142" spans="1:7" ht="15" customHeight="1">
      <c r="A142" s="116"/>
      <c r="B142" s="116"/>
      <c r="C142" s="116"/>
      <c r="D142" s="116"/>
      <c r="E142" s="116"/>
      <c r="F142" s="116"/>
      <c r="G142" s="511"/>
    </row>
    <row r="143" spans="1:7" ht="15" customHeight="1">
      <c r="A143" s="116"/>
      <c r="B143" s="116"/>
      <c r="C143" s="116"/>
      <c r="D143" s="116"/>
      <c r="E143" s="116"/>
      <c r="F143" s="116"/>
      <c r="G143" s="511"/>
    </row>
    <row r="144" spans="1:7" ht="15" customHeight="1">
      <c r="A144" s="116"/>
      <c r="B144" s="116"/>
      <c r="C144" s="116"/>
      <c r="D144" s="116"/>
      <c r="E144" s="116"/>
      <c r="F144" s="116"/>
      <c r="G144" s="511"/>
    </row>
    <row r="145" spans="1:7" ht="15" customHeight="1">
      <c r="A145" s="116"/>
      <c r="B145" s="116"/>
      <c r="C145" s="116"/>
      <c r="D145" s="116"/>
      <c r="E145" s="116"/>
      <c r="F145" s="116"/>
      <c r="G145" s="511"/>
    </row>
    <row r="146" spans="1:7" ht="15" customHeight="1">
      <c r="A146" s="116"/>
      <c r="B146" s="116"/>
      <c r="C146" s="116"/>
      <c r="D146" s="116"/>
      <c r="E146" s="116"/>
      <c r="F146" s="116"/>
      <c r="G146" s="511"/>
    </row>
    <row r="147" spans="1:7" ht="15" customHeight="1">
      <c r="A147" s="116"/>
      <c r="B147" s="116"/>
      <c r="C147" s="116"/>
      <c r="D147" s="116"/>
      <c r="E147" s="116"/>
      <c r="F147" s="116"/>
      <c r="G147" s="511"/>
    </row>
    <row r="148" spans="1:7" ht="15" customHeight="1">
      <c r="A148" s="116"/>
      <c r="B148" s="116"/>
      <c r="C148" s="116"/>
      <c r="D148" s="116"/>
      <c r="E148" s="116"/>
      <c r="F148" s="116"/>
      <c r="G148" s="511"/>
    </row>
    <row r="149" spans="1:7" ht="15" customHeight="1">
      <c r="A149" s="116"/>
      <c r="B149" s="116"/>
      <c r="C149" s="116"/>
      <c r="D149" s="116"/>
      <c r="E149" s="116"/>
      <c r="F149" s="116"/>
      <c r="G149" s="511"/>
    </row>
    <row r="150" spans="1:7" ht="15" customHeight="1">
      <c r="A150" s="116"/>
      <c r="B150" s="116"/>
      <c r="C150" s="116"/>
      <c r="D150" s="116"/>
      <c r="E150" s="116"/>
      <c r="F150" s="116"/>
      <c r="G150" s="511"/>
    </row>
    <row r="151" spans="1:7" ht="13.5">
      <c r="A151" s="116"/>
      <c r="B151" s="117"/>
      <c r="C151" s="118"/>
      <c r="D151" s="119"/>
      <c r="E151" s="119"/>
      <c r="F151" s="119"/>
      <c r="G151" s="120"/>
    </row>
    <row r="152" spans="1:7" s="1" customFormat="1" ht="19.5" customHeight="1">
      <c r="A152" s="121"/>
      <c r="B152" s="122"/>
      <c r="C152" s="122"/>
      <c r="D152" s="123"/>
      <c r="E152" s="123"/>
      <c r="F152" s="123"/>
      <c r="G152" s="121"/>
    </row>
    <row r="153" spans="1:7" ht="13.5">
      <c r="A153" s="124"/>
      <c r="B153" s="117"/>
      <c r="C153" s="118"/>
      <c r="D153" s="119"/>
      <c r="E153" s="119"/>
      <c r="F153" s="119"/>
      <c r="G153" s="120"/>
    </row>
    <row r="154" spans="1:7" ht="13.5">
      <c r="A154" s="116"/>
      <c r="B154" s="117"/>
      <c r="C154" s="118"/>
      <c r="D154" s="119"/>
      <c r="E154" s="119"/>
      <c r="F154" s="119"/>
      <c r="G154" s="120"/>
    </row>
    <row r="155" spans="1:7" ht="15" customHeight="1">
      <c r="A155" s="706" t="s">
        <v>558</v>
      </c>
      <c r="B155" s="706"/>
      <c r="C155" s="706"/>
      <c r="D155" s="706"/>
      <c r="E155" s="706"/>
      <c r="F155" s="706"/>
      <c r="G155" s="94">
        <f>G134</f>
        <v>7869113.2400000002</v>
      </c>
    </row>
    <row r="156" spans="1:7" ht="15" customHeight="1">
      <c r="A156" s="10" t="s">
        <v>316</v>
      </c>
      <c r="B156" s="98"/>
      <c r="C156" s="178" t="s">
        <v>337</v>
      </c>
      <c r="D156" s="98"/>
      <c r="E156" s="101"/>
      <c r="F156" s="130"/>
      <c r="G156" s="130"/>
    </row>
    <row r="157" spans="1:7" ht="24">
      <c r="A157" s="10">
        <v>13</v>
      </c>
      <c r="B157" s="98" t="s">
        <v>255</v>
      </c>
      <c r="C157" s="21" t="s">
        <v>338</v>
      </c>
      <c r="D157" s="98" t="s">
        <v>320</v>
      </c>
      <c r="E157" s="101">
        <v>35</v>
      </c>
      <c r="F157" s="130">
        <v>2214</v>
      </c>
      <c r="G157" s="130">
        <f>E157*F157</f>
        <v>77490</v>
      </c>
    </row>
    <row r="158" spans="1:7" ht="24">
      <c r="A158" s="10">
        <v>14</v>
      </c>
      <c r="B158" s="98" t="s">
        <v>339</v>
      </c>
      <c r="C158" s="21" t="s">
        <v>340</v>
      </c>
      <c r="D158" s="98" t="s">
        <v>320</v>
      </c>
      <c r="E158" s="101">
        <v>110</v>
      </c>
      <c r="F158" s="130">
        <v>2214</v>
      </c>
      <c r="G158" s="130">
        <f>E158*F158</f>
        <v>243540</v>
      </c>
    </row>
    <row r="159" spans="1:7" ht="15" customHeight="1">
      <c r="A159" s="10" t="s">
        <v>316</v>
      </c>
      <c r="B159" s="10"/>
      <c r="C159" s="178" t="s">
        <v>341</v>
      </c>
      <c r="D159" s="10"/>
      <c r="E159" s="13"/>
      <c r="F159" s="130"/>
      <c r="G159" s="130"/>
    </row>
    <row r="160" spans="1:7" ht="24">
      <c r="A160" s="10">
        <v>15</v>
      </c>
      <c r="B160" s="10" t="s">
        <v>342</v>
      </c>
      <c r="C160" s="21" t="s">
        <v>343</v>
      </c>
      <c r="D160" s="10" t="s">
        <v>344</v>
      </c>
      <c r="E160" s="13">
        <v>2.4500000000000002</v>
      </c>
      <c r="F160" s="130">
        <v>287820.53000000003</v>
      </c>
      <c r="G160" s="130">
        <f>E160*F160</f>
        <v>705160.3</v>
      </c>
    </row>
    <row r="161" spans="1:7" ht="36">
      <c r="A161" s="98">
        <v>16</v>
      </c>
      <c r="B161" s="98" t="s">
        <v>345</v>
      </c>
      <c r="C161" s="21" t="s">
        <v>346</v>
      </c>
      <c r="D161" s="98" t="s">
        <v>344</v>
      </c>
      <c r="E161" s="101">
        <v>3</v>
      </c>
      <c r="F161" s="130">
        <v>287820.53000000003</v>
      </c>
      <c r="G161" s="130">
        <f>E161*F161</f>
        <v>863461.59</v>
      </c>
    </row>
    <row r="162" spans="1:7" ht="24">
      <c r="A162" s="10">
        <v>17</v>
      </c>
      <c r="B162" s="98" t="s">
        <v>347</v>
      </c>
      <c r="C162" s="21" t="s">
        <v>348</v>
      </c>
      <c r="D162" s="98" t="s">
        <v>344</v>
      </c>
      <c r="E162" s="101">
        <v>0.25</v>
      </c>
      <c r="F162" s="130">
        <v>287820.52</v>
      </c>
      <c r="G162" s="130">
        <f>E162*F162</f>
        <v>71955.13</v>
      </c>
    </row>
    <row r="163" spans="1:7" ht="15" customHeight="1">
      <c r="A163" s="10" t="s">
        <v>316</v>
      </c>
      <c r="B163" s="98"/>
      <c r="C163" s="178" t="s">
        <v>349</v>
      </c>
      <c r="D163" s="98"/>
      <c r="E163" s="101"/>
      <c r="F163" s="130"/>
      <c r="G163" s="130"/>
    </row>
    <row r="164" spans="1:7" ht="36">
      <c r="A164" s="10">
        <v>18</v>
      </c>
      <c r="B164" s="98" t="s">
        <v>269</v>
      </c>
      <c r="C164" s="21" t="s">
        <v>350</v>
      </c>
      <c r="D164" s="98" t="s">
        <v>351</v>
      </c>
      <c r="E164" s="101">
        <v>16</v>
      </c>
      <c r="F164" s="130">
        <v>2656.8</v>
      </c>
      <c r="G164" s="130">
        <f>E164*F164</f>
        <v>42508.800000000003</v>
      </c>
    </row>
    <row r="165" spans="1:7" ht="15" customHeight="1">
      <c r="A165" s="10" t="s">
        <v>316</v>
      </c>
      <c r="B165" s="98"/>
      <c r="C165" s="21" t="s">
        <v>352</v>
      </c>
      <c r="D165" s="98"/>
      <c r="E165" s="101"/>
      <c r="F165" s="130"/>
      <c r="G165" s="130">
        <f>E165*F165</f>
        <v>0</v>
      </c>
    </row>
    <row r="166" spans="1:7" ht="24">
      <c r="A166" s="10">
        <v>19</v>
      </c>
      <c r="B166" s="98" t="s">
        <v>263</v>
      </c>
      <c r="C166" s="21" t="s">
        <v>353</v>
      </c>
      <c r="D166" s="98" t="s">
        <v>323</v>
      </c>
      <c r="E166" s="101">
        <v>25</v>
      </c>
      <c r="F166" s="130">
        <v>6199.21</v>
      </c>
      <c r="G166" s="130">
        <f>E166*F166</f>
        <v>154980.25</v>
      </c>
    </row>
    <row r="167" spans="1:7" ht="24">
      <c r="A167" s="10">
        <v>20</v>
      </c>
      <c r="B167" s="98" t="s">
        <v>265</v>
      </c>
      <c r="C167" s="21" t="s">
        <v>354</v>
      </c>
      <c r="D167" s="98" t="s">
        <v>323</v>
      </c>
      <c r="E167" s="101">
        <v>4</v>
      </c>
      <c r="F167" s="130">
        <v>5756.41</v>
      </c>
      <c r="G167" s="130">
        <f>E167*F167</f>
        <v>23025.64</v>
      </c>
    </row>
    <row r="168" spans="1:7" ht="24">
      <c r="A168" s="10">
        <v>21</v>
      </c>
      <c r="B168" s="98" t="s">
        <v>267</v>
      </c>
      <c r="C168" s="21" t="s">
        <v>355</v>
      </c>
      <c r="D168" s="98" t="s">
        <v>323</v>
      </c>
      <c r="E168" s="101">
        <v>3</v>
      </c>
      <c r="F168" s="130">
        <v>3985.21</v>
      </c>
      <c r="G168" s="130">
        <f>E168*F168</f>
        <v>11955.63</v>
      </c>
    </row>
    <row r="169" spans="1:7" ht="15" customHeight="1">
      <c r="A169" s="10"/>
      <c r="B169" s="98"/>
      <c r="C169" s="21"/>
      <c r="D169" s="98"/>
      <c r="E169" s="101"/>
      <c r="F169" s="130"/>
      <c r="G169" s="130"/>
    </row>
    <row r="170" spans="1:7" ht="15" customHeight="1">
      <c r="A170" s="10"/>
      <c r="B170" s="98"/>
      <c r="C170" s="21"/>
      <c r="D170" s="98"/>
      <c r="E170" s="101"/>
      <c r="F170" s="130"/>
      <c r="G170" s="130"/>
    </row>
    <row r="171" spans="1:7" ht="15" customHeight="1">
      <c r="A171" s="10"/>
      <c r="B171" s="98"/>
      <c r="C171" s="21"/>
      <c r="D171" s="98"/>
      <c r="E171" s="101"/>
      <c r="F171" s="130"/>
      <c r="G171" s="130"/>
    </row>
    <row r="172" spans="1:7" ht="15" customHeight="1">
      <c r="A172" s="14"/>
      <c r="B172" s="165"/>
      <c r="C172" s="175"/>
      <c r="D172" s="165"/>
      <c r="E172" s="106"/>
      <c r="F172" s="138"/>
      <c r="G172" s="138"/>
    </row>
    <row r="173" spans="1:7" ht="15" customHeight="1">
      <c r="A173" s="706" t="s">
        <v>557</v>
      </c>
      <c r="B173" s="706"/>
      <c r="C173" s="706"/>
      <c r="D173" s="706"/>
      <c r="E173" s="706"/>
      <c r="F173" s="706"/>
      <c r="G173" s="166">
        <f>SUM(G155:G172)</f>
        <v>10063190.58</v>
      </c>
    </row>
    <row r="174" spans="1:7" ht="15" customHeight="1">
      <c r="A174" s="116"/>
      <c r="B174" s="116"/>
      <c r="C174" s="116"/>
      <c r="D174" s="116"/>
      <c r="E174" s="116"/>
      <c r="F174" s="116"/>
      <c r="G174" s="511"/>
    </row>
    <row r="175" spans="1:7" ht="15" customHeight="1">
      <c r="A175" s="116"/>
      <c r="B175" s="116"/>
      <c r="C175" s="116"/>
      <c r="D175" s="116"/>
      <c r="E175" s="116"/>
      <c r="F175" s="116"/>
      <c r="G175" s="511"/>
    </row>
    <row r="176" spans="1:7" ht="15" customHeight="1">
      <c r="A176" s="116"/>
      <c r="B176" s="116"/>
      <c r="C176" s="116"/>
      <c r="D176" s="116"/>
      <c r="E176" s="116"/>
      <c r="F176" s="116"/>
      <c r="G176" s="511"/>
    </row>
    <row r="177" spans="1:7" ht="15" customHeight="1">
      <c r="A177" s="116"/>
      <c r="B177" s="116"/>
      <c r="C177" s="116"/>
      <c r="D177" s="116"/>
      <c r="E177" s="116"/>
      <c r="F177" s="116"/>
      <c r="G177" s="511"/>
    </row>
    <row r="178" spans="1:7" ht="15" customHeight="1">
      <c r="A178" s="116"/>
      <c r="B178" s="116"/>
      <c r="C178" s="116"/>
      <c r="D178" s="116"/>
      <c r="E178" s="116"/>
      <c r="F178" s="116"/>
      <c r="G178" s="511"/>
    </row>
    <row r="179" spans="1:7" ht="15" customHeight="1">
      <c r="A179" s="116"/>
      <c r="B179" s="116"/>
      <c r="C179" s="116"/>
      <c r="D179" s="116"/>
      <c r="E179" s="116"/>
      <c r="F179" s="116"/>
      <c r="G179" s="511"/>
    </row>
    <row r="180" spans="1:7" ht="15" customHeight="1">
      <c r="A180" s="116"/>
      <c r="B180" s="116"/>
      <c r="C180" s="116"/>
      <c r="D180" s="116"/>
      <c r="E180" s="116"/>
      <c r="F180" s="116"/>
      <c r="G180" s="511"/>
    </row>
    <row r="181" spans="1:7" ht="15" customHeight="1">
      <c r="A181" s="116"/>
      <c r="B181" s="116"/>
      <c r="C181" s="116"/>
      <c r="D181" s="116"/>
      <c r="E181" s="116"/>
      <c r="F181" s="116"/>
      <c r="G181" s="511"/>
    </row>
    <row r="182" spans="1:7" ht="15" customHeight="1">
      <c r="A182" s="116"/>
      <c r="B182" s="116"/>
      <c r="C182" s="116"/>
      <c r="D182" s="116"/>
      <c r="E182" s="116"/>
      <c r="F182" s="116"/>
      <c r="G182" s="511"/>
    </row>
    <row r="183" spans="1:7" ht="15" customHeight="1">
      <c r="A183" s="116"/>
      <c r="B183" s="116"/>
      <c r="C183" s="116"/>
      <c r="D183" s="116"/>
      <c r="E183" s="116"/>
      <c r="F183" s="116"/>
      <c r="G183" s="511"/>
    </row>
    <row r="184" spans="1:7" ht="15" customHeight="1">
      <c r="A184" s="116"/>
      <c r="B184" s="116"/>
      <c r="C184" s="116"/>
      <c r="D184" s="116"/>
      <c r="E184" s="116"/>
      <c r="F184" s="116"/>
      <c r="G184" s="511"/>
    </row>
    <row r="185" spans="1:7" ht="15" customHeight="1">
      <c r="A185" s="116"/>
      <c r="B185" s="116"/>
      <c r="C185" s="116"/>
      <c r="D185" s="116"/>
      <c r="E185" s="116"/>
      <c r="F185" s="116"/>
      <c r="G185" s="511"/>
    </row>
    <row r="186" spans="1:7" ht="15" customHeight="1">
      <c r="A186" s="116"/>
      <c r="B186" s="116"/>
      <c r="C186" s="116"/>
      <c r="D186" s="116"/>
      <c r="E186" s="116"/>
      <c r="F186" s="116"/>
      <c r="G186" s="511"/>
    </row>
    <row r="187" spans="1:7" ht="15" customHeight="1">
      <c r="A187" s="116"/>
      <c r="B187" s="116"/>
      <c r="C187" s="116"/>
      <c r="D187" s="116"/>
      <c r="E187" s="116"/>
      <c r="F187" s="116"/>
      <c r="G187" s="511"/>
    </row>
    <row r="188" spans="1:7" ht="15" customHeight="1">
      <c r="A188" s="116"/>
      <c r="B188" s="116"/>
      <c r="C188" s="116"/>
      <c r="D188" s="116"/>
      <c r="E188" s="116"/>
      <c r="F188" s="116"/>
      <c r="G188" s="511"/>
    </row>
    <row r="189" spans="1:7" ht="15" customHeight="1">
      <c r="A189" s="116"/>
      <c r="B189" s="116"/>
      <c r="C189" s="116"/>
      <c r="D189" s="116"/>
      <c r="E189" s="116"/>
      <c r="F189" s="116"/>
      <c r="G189" s="511"/>
    </row>
    <row r="191" spans="1:7" ht="13.5">
      <c r="A191" s="116"/>
      <c r="B191" s="117"/>
      <c r="C191" s="118"/>
      <c r="D191" s="119"/>
      <c r="E191" s="119"/>
      <c r="F191" s="119"/>
      <c r="G191" s="120"/>
    </row>
    <row r="192" spans="1:7" s="1" customFormat="1" ht="38.25" customHeight="1">
      <c r="A192" s="121"/>
      <c r="B192" s="122"/>
      <c r="C192" s="122"/>
      <c r="D192" s="123"/>
      <c r="E192" s="123"/>
      <c r="F192" s="123"/>
      <c r="G192" s="121"/>
    </row>
    <row r="193" spans="1:7" ht="13.5">
      <c r="A193" s="124"/>
      <c r="B193" s="117"/>
      <c r="C193" s="118"/>
      <c r="D193" s="119"/>
      <c r="E193" s="119"/>
      <c r="F193" s="119"/>
      <c r="G193" s="120"/>
    </row>
    <row r="194" spans="1:7" ht="13.5">
      <c r="A194" s="116"/>
      <c r="B194" s="117"/>
      <c r="C194" s="118"/>
      <c r="D194" s="119"/>
      <c r="E194" s="119"/>
      <c r="F194" s="119"/>
      <c r="G194" s="120"/>
    </row>
    <row r="195" spans="1:7" ht="15" customHeight="1">
      <c r="A195" s="706" t="s">
        <v>558</v>
      </c>
      <c r="B195" s="706"/>
      <c r="C195" s="706"/>
      <c r="D195" s="706"/>
      <c r="E195" s="706"/>
      <c r="F195" s="706"/>
      <c r="G195" s="94">
        <f>G173</f>
        <v>10063190.58</v>
      </c>
    </row>
    <row r="196" spans="1:7" s="181" customFormat="1" ht="15" customHeight="1">
      <c r="A196" s="182" t="s">
        <v>316</v>
      </c>
      <c r="B196" s="182"/>
      <c r="C196" s="183" t="s">
        <v>356</v>
      </c>
      <c r="D196" s="182"/>
      <c r="E196" s="184"/>
      <c r="F196" s="185"/>
      <c r="G196" s="185"/>
    </row>
    <row r="197" spans="1:7" s="181" customFormat="1" ht="12" customHeight="1">
      <c r="A197" s="176" t="s">
        <v>316</v>
      </c>
      <c r="B197" s="176"/>
      <c r="C197" s="178" t="s">
        <v>330</v>
      </c>
      <c r="D197" s="176"/>
      <c r="E197" s="187"/>
      <c r="F197" s="180"/>
      <c r="G197" s="180"/>
    </row>
    <row r="198" spans="1:7" ht="15" customHeight="1">
      <c r="A198" s="98">
        <v>1</v>
      </c>
      <c r="B198" s="98" t="s">
        <v>275</v>
      </c>
      <c r="C198" s="21" t="s">
        <v>357</v>
      </c>
      <c r="D198" s="98" t="s">
        <v>323</v>
      </c>
      <c r="E198" s="101">
        <v>18</v>
      </c>
      <c r="F198" s="130">
        <v>26568.05</v>
      </c>
      <c r="G198" s="130">
        <f>E198*F198</f>
        <v>478224.9</v>
      </c>
    </row>
    <row r="199" spans="1:7" ht="24">
      <c r="A199" s="10">
        <v>2</v>
      </c>
      <c r="B199" s="98" t="s">
        <v>335</v>
      </c>
      <c r="C199" s="21" t="s">
        <v>358</v>
      </c>
      <c r="D199" s="98" t="s">
        <v>323</v>
      </c>
      <c r="E199" s="101">
        <v>10</v>
      </c>
      <c r="F199" s="130">
        <v>23911.24</v>
      </c>
      <c r="G199" s="130">
        <f>E199*F199</f>
        <v>239112.4</v>
      </c>
    </row>
    <row r="200" spans="1:7" ht="15" customHeight="1">
      <c r="A200" s="10" t="s">
        <v>316</v>
      </c>
      <c r="B200" s="98"/>
      <c r="C200" s="178" t="s">
        <v>359</v>
      </c>
      <c r="D200" s="98"/>
      <c r="E200" s="101"/>
      <c r="F200" s="130"/>
      <c r="G200" s="130"/>
    </row>
    <row r="201" spans="1:7" ht="24">
      <c r="A201" s="10">
        <v>3</v>
      </c>
      <c r="B201" s="98" t="s">
        <v>339</v>
      </c>
      <c r="C201" s="21" t="s">
        <v>360</v>
      </c>
      <c r="D201" s="98" t="s">
        <v>320</v>
      </c>
      <c r="E201" s="101">
        <v>65</v>
      </c>
      <c r="F201" s="130">
        <v>2214</v>
      </c>
      <c r="G201" s="130">
        <f>E201*F201</f>
        <v>143910</v>
      </c>
    </row>
    <row r="202" spans="1:7" ht="24">
      <c r="A202" s="10">
        <v>4</v>
      </c>
      <c r="B202" s="98" t="s">
        <v>361</v>
      </c>
      <c r="C202" s="21" t="s">
        <v>362</v>
      </c>
      <c r="D202" s="98" t="s">
        <v>320</v>
      </c>
      <c r="E202" s="101">
        <v>26</v>
      </c>
      <c r="F202" s="130">
        <v>2214</v>
      </c>
      <c r="G202" s="130">
        <f>E202*F202</f>
        <v>57564</v>
      </c>
    </row>
    <row r="203" spans="1:7" ht="15" customHeight="1">
      <c r="A203" s="10"/>
      <c r="B203" s="98"/>
      <c r="C203" s="178" t="s">
        <v>341</v>
      </c>
      <c r="D203" s="98"/>
      <c r="E203" s="101"/>
      <c r="F203" s="130"/>
      <c r="G203" s="130"/>
    </row>
    <row r="204" spans="1:7" ht="24">
      <c r="A204" s="10">
        <v>5</v>
      </c>
      <c r="B204" s="98" t="s">
        <v>345</v>
      </c>
      <c r="C204" s="21" t="s">
        <v>363</v>
      </c>
      <c r="D204" s="98" t="s">
        <v>344</v>
      </c>
      <c r="E204" s="101">
        <v>2.5</v>
      </c>
      <c r="F204" s="130">
        <v>287820.53000000003</v>
      </c>
      <c r="G204" s="130">
        <f>E204*F204</f>
        <v>719551.33</v>
      </c>
    </row>
    <row r="205" spans="1:7" ht="24">
      <c r="A205" s="10">
        <v>6</v>
      </c>
      <c r="B205" s="98" t="s">
        <v>342</v>
      </c>
      <c r="C205" s="21" t="s">
        <v>364</v>
      </c>
      <c r="D205" s="98" t="s">
        <v>344</v>
      </c>
      <c r="E205" s="101">
        <v>0.1</v>
      </c>
      <c r="F205" s="130">
        <v>287820.5</v>
      </c>
      <c r="G205" s="130">
        <f>E205*F205</f>
        <v>28782.05</v>
      </c>
    </row>
    <row r="206" spans="1:7" ht="15" customHeight="1">
      <c r="A206" s="10" t="s">
        <v>316</v>
      </c>
      <c r="B206" s="98"/>
      <c r="C206" s="178" t="s">
        <v>365</v>
      </c>
      <c r="D206" s="98"/>
      <c r="E206" s="101"/>
      <c r="F206" s="130"/>
      <c r="G206" s="130"/>
    </row>
    <row r="207" spans="1:7" ht="48">
      <c r="A207" s="10">
        <v>7</v>
      </c>
      <c r="B207" s="98" t="s">
        <v>366</v>
      </c>
      <c r="C207" s="21" t="s">
        <v>367</v>
      </c>
      <c r="D207" s="98" t="s">
        <v>351</v>
      </c>
      <c r="E207" s="101">
        <v>15</v>
      </c>
      <c r="F207" s="130">
        <v>22140.04</v>
      </c>
      <c r="G207" s="130">
        <f t="shared" ref="G207:G213" si="4">E207*F207</f>
        <v>332100.59999999998</v>
      </c>
    </row>
    <row r="208" spans="1:7" ht="40.5" customHeight="1">
      <c r="A208" s="10">
        <v>8</v>
      </c>
      <c r="B208" s="98" t="s">
        <v>368</v>
      </c>
      <c r="C208" s="21" t="s">
        <v>369</v>
      </c>
      <c r="D208" s="98" t="s">
        <v>370</v>
      </c>
      <c r="E208" s="101">
        <v>4</v>
      </c>
      <c r="F208" s="130">
        <v>177120.33</v>
      </c>
      <c r="G208" s="130">
        <f t="shared" si="4"/>
        <v>708481.32</v>
      </c>
    </row>
    <row r="209" spans="1:7" ht="13.5">
      <c r="A209" s="10" t="s">
        <v>316</v>
      </c>
      <c r="B209" s="98"/>
      <c r="C209" s="178" t="s">
        <v>371</v>
      </c>
      <c r="D209" s="98"/>
      <c r="E209" s="101"/>
      <c r="F209" s="130"/>
      <c r="G209" s="130">
        <f t="shared" si="4"/>
        <v>0</v>
      </c>
    </row>
    <row r="210" spans="1:7" ht="24">
      <c r="A210" s="10">
        <v>9</v>
      </c>
      <c r="B210" s="98" t="s">
        <v>372</v>
      </c>
      <c r="C210" s="21" t="s">
        <v>373</v>
      </c>
      <c r="D210" s="98" t="s">
        <v>374</v>
      </c>
      <c r="E210" s="101">
        <v>8</v>
      </c>
      <c r="F210" s="130">
        <v>4428.01</v>
      </c>
      <c r="G210" s="130">
        <f t="shared" si="4"/>
        <v>35424.080000000002</v>
      </c>
    </row>
    <row r="211" spans="1:7" ht="15" customHeight="1">
      <c r="A211" s="10" t="s">
        <v>316</v>
      </c>
      <c r="B211" s="98"/>
      <c r="C211" s="178" t="s">
        <v>375</v>
      </c>
      <c r="D211" s="98"/>
      <c r="E211" s="101"/>
      <c r="F211" s="130"/>
      <c r="G211" s="130">
        <f t="shared" si="4"/>
        <v>0</v>
      </c>
    </row>
    <row r="212" spans="1:7" ht="36">
      <c r="A212" s="10">
        <v>10</v>
      </c>
      <c r="B212" s="98" t="s">
        <v>376</v>
      </c>
      <c r="C212" s="21" t="s">
        <v>377</v>
      </c>
      <c r="D212" s="98" t="s">
        <v>351</v>
      </c>
      <c r="E212" s="101">
        <v>20</v>
      </c>
      <c r="F212" s="130">
        <v>3099.61</v>
      </c>
      <c r="G212" s="130">
        <f t="shared" si="4"/>
        <v>61992.2</v>
      </c>
    </row>
    <row r="213" spans="1:7" ht="30" customHeight="1">
      <c r="A213" s="10">
        <v>11</v>
      </c>
      <c r="B213" s="98" t="s">
        <v>378</v>
      </c>
      <c r="C213" s="21" t="s">
        <v>379</v>
      </c>
      <c r="D213" s="98" t="s">
        <v>351</v>
      </c>
      <c r="E213" s="101">
        <v>10</v>
      </c>
      <c r="F213" s="130">
        <v>3099.61</v>
      </c>
      <c r="G213" s="130">
        <f t="shared" si="4"/>
        <v>30996.1</v>
      </c>
    </row>
    <row r="214" spans="1:7" ht="15" customHeight="1">
      <c r="A214" s="706" t="s">
        <v>557</v>
      </c>
      <c r="B214" s="706"/>
      <c r="C214" s="706"/>
      <c r="D214" s="706"/>
      <c r="E214" s="706"/>
      <c r="F214" s="706"/>
      <c r="G214" s="166">
        <f>SUM(G195:G213)</f>
        <v>12899329.560000001</v>
      </c>
    </row>
    <row r="215" spans="1:7" ht="15" customHeight="1">
      <c r="A215" s="116"/>
      <c r="B215" s="116"/>
      <c r="C215" s="116"/>
      <c r="D215" s="116"/>
      <c r="E215" s="116"/>
      <c r="F215" s="116"/>
      <c r="G215" s="511"/>
    </row>
    <row r="216" spans="1:7" ht="15" customHeight="1">
      <c r="A216" s="116"/>
      <c r="B216" s="116"/>
      <c r="C216" s="116"/>
      <c r="D216" s="116"/>
      <c r="E216" s="116"/>
      <c r="F216" s="116"/>
      <c r="G216" s="511"/>
    </row>
    <row r="217" spans="1:7" ht="15" customHeight="1">
      <c r="A217" s="116"/>
      <c r="B217" s="116"/>
      <c r="C217" s="116"/>
      <c r="D217" s="116"/>
      <c r="E217" s="116"/>
      <c r="F217" s="116"/>
      <c r="G217" s="511"/>
    </row>
    <row r="218" spans="1:7" ht="15" customHeight="1">
      <c r="A218" s="116"/>
      <c r="B218" s="116"/>
      <c r="C218" s="116"/>
      <c r="D218" s="116"/>
      <c r="E218" s="116"/>
      <c r="F218" s="116"/>
      <c r="G218" s="511"/>
    </row>
    <row r="219" spans="1:7" ht="15" customHeight="1">
      <c r="A219" s="116"/>
      <c r="B219" s="116"/>
      <c r="C219" s="116"/>
      <c r="D219" s="116"/>
      <c r="E219" s="116"/>
      <c r="F219" s="116"/>
      <c r="G219" s="511"/>
    </row>
    <row r="220" spans="1:7" ht="15" customHeight="1">
      <c r="A220" s="116"/>
      <c r="B220" s="116"/>
      <c r="C220" s="116"/>
      <c r="D220" s="116"/>
      <c r="E220" s="116"/>
      <c r="F220" s="116"/>
      <c r="G220" s="511"/>
    </row>
    <row r="221" spans="1:7" ht="15" customHeight="1">
      <c r="A221" s="116"/>
      <c r="B221" s="116"/>
      <c r="C221" s="116"/>
      <c r="D221" s="116"/>
      <c r="E221" s="116"/>
      <c r="F221" s="116"/>
      <c r="G221" s="511"/>
    </row>
    <row r="222" spans="1:7" ht="15" customHeight="1">
      <c r="A222" s="116"/>
      <c r="B222" s="116"/>
      <c r="C222" s="116"/>
      <c r="D222" s="116"/>
      <c r="E222" s="116"/>
      <c r="F222" s="116"/>
      <c r="G222" s="511"/>
    </row>
    <row r="223" spans="1:7" ht="15" customHeight="1">
      <c r="A223" s="116"/>
      <c r="B223" s="116"/>
      <c r="C223" s="116"/>
      <c r="D223" s="116"/>
      <c r="E223" s="116"/>
      <c r="F223" s="116"/>
      <c r="G223" s="511"/>
    </row>
    <row r="224" spans="1:7" ht="15" customHeight="1">
      <c r="A224" s="116"/>
      <c r="B224" s="116"/>
      <c r="C224" s="116"/>
      <c r="D224" s="116"/>
      <c r="E224" s="116"/>
      <c r="F224" s="116"/>
      <c r="G224" s="511"/>
    </row>
    <row r="225" spans="1:7" ht="15" customHeight="1">
      <c r="A225" s="116"/>
      <c r="B225" s="116"/>
      <c r="C225" s="116"/>
      <c r="D225" s="116"/>
      <c r="E225" s="116"/>
      <c r="F225" s="116"/>
      <c r="G225" s="511"/>
    </row>
    <row r="226" spans="1:7" ht="15" customHeight="1">
      <c r="A226" s="116"/>
      <c r="B226" s="116"/>
      <c r="C226" s="116"/>
      <c r="D226" s="116"/>
      <c r="E226" s="116"/>
      <c r="F226" s="116"/>
      <c r="G226" s="511"/>
    </row>
    <row r="227" spans="1:7" ht="15" customHeight="1">
      <c r="A227" s="116"/>
      <c r="B227" s="116"/>
      <c r="C227" s="116"/>
      <c r="D227" s="116"/>
      <c r="E227" s="116"/>
      <c r="F227" s="116"/>
      <c r="G227" s="511"/>
    </row>
    <row r="228" spans="1:7" ht="15" customHeight="1">
      <c r="A228" s="116"/>
      <c r="B228" s="116"/>
      <c r="C228" s="116"/>
      <c r="D228" s="116"/>
      <c r="E228" s="116"/>
      <c r="F228" s="116"/>
      <c r="G228" s="511"/>
    </row>
    <row r="229" spans="1:7" ht="15" customHeight="1">
      <c r="A229" s="116"/>
      <c r="B229" s="116"/>
      <c r="C229" s="116"/>
      <c r="D229" s="116"/>
      <c r="E229" s="116"/>
      <c r="F229" s="116"/>
      <c r="G229" s="511"/>
    </row>
    <row r="230" spans="1:7" ht="15" customHeight="1">
      <c r="A230" s="116"/>
      <c r="B230" s="116"/>
      <c r="C230" s="116"/>
      <c r="D230" s="116"/>
      <c r="E230" s="116"/>
      <c r="F230" s="116"/>
      <c r="G230" s="511"/>
    </row>
    <row r="231" spans="1:7" ht="13.5">
      <c r="A231" s="116"/>
      <c r="B231" s="117"/>
      <c r="C231" s="118"/>
      <c r="D231" s="119"/>
      <c r="E231" s="119"/>
      <c r="F231" s="119"/>
      <c r="G231" s="120"/>
    </row>
    <row r="232" spans="1:7" s="1" customFormat="1" ht="23.25" customHeight="1">
      <c r="A232" s="121"/>
      <c r="B232" s="122"/>
      <c r="C232" s="122"/>
      <c r="D232" s="123"/>
      <c r="E232" s="123"/>
      <c r="F232" s="123"/>
      <c r="G232" s="121"/>
    </row>
    <row r="233" spans="1:7" ht="13.5">
      <c r="A233" s="124"/>
      <c r="B233" s="117"/>
      <c r="C233" s="118"/>
      <c r="D233" s="119"/>
      <c r="E233" s="119"/>
      <c r="F233" s="119"/>
      <c r="G233" s="120"/>
    </row>
    <row r="234" spans="1:7" ht="13.5">
      <c r="A234" s="116"/>
      <c r="B234" s="117"/>
      <c r="C234" s="118"/>
      <c r="D234" s="119"/>
      <c r="E234" s="119"/>
      <c r="F234" s="119"/>
      <c r="G234" s="120"/>
    </row>
    <row r="235" spans="1:7" ht="15" customHeight="1">
      <c r="A235" s="706" t="s">
        <v>558</v>
      </c>
      <c r="B235" s="706"/>
      <c r="C235" s="706"/>
      <c r="D235" s="706"/>
      <c r="E235" s="706"/>
      <c r="F235" s="706"/>
      <c r="G235" s="94">
        <f>G214</f>
        <v>12899329.560000001</v>
      </c>
    </row>
    <row r="236" spans="1:7" ht="15" customHeight="1">
      <c r="A236" s="10" t="s">
        <v>316</v>
      </c>
      <c r="B236" s="98"/>
      <c r="C236" s="178" t="s">
        <v>380</v>
      </c>
      <c r="D236" s="98"/>
      <c r="E236" s="9"/>
      <c r="F236" s="127"/>
      <c r="G236" s="127"/>
    </row>
    <row r="237" spans="1:7" ht="24">
      <c r="A237" s="10">
        <v>12</v>
      </c>
      <c r="B237" s="163" t="s">
        <v>381</v>
      </c>
      <c r="C237" s="173" t="s">
        <v>382</v>
      </c>
      <c r="D237" s="163" t="s">
        <v>351</v>
      </c>
      <c r="E237" s="13">
        <v>18</v>
      </c>
      <c r="F237" s="130">
        <v>3542.41</v>
      </c>
      <c r="G237" s="130">
        <f>E237*F237</f>
        <v>63763.38</v>
      </c>
    </row>
    <row r="238" spans="1:7" ht="15" customHeight="1">
      <c r="A238" s="98" t="s">
        <v>316</v>
      </c>
      <c r="B238" s="98"/>
      <c r="C238" s="178" t="s">
        <v>383</v>
      </c>
      <c r="D238" s="98"/>
      <c r="E238" s="101"/>
      <c r="F238" s="130"/>
      <c r="G238" s="130"/>
    </row>
    <row r="239" spans="1:7" ht="24">
      <c r="A239" s="10">
        <v>13</v>
      </c>
      <c r="B239" s="98" t="s">
        <v>384</v>
      </c>
      <c r="C239" s="21" t="s">
        <v>385</v>
      </c>
      <c r="D239" s="98" t="s">
        <v>370</v>
      </c>
      <c r="E239" s="101">
        <v>20</v>
      </c>
      <c r="F239" s="130">
        <v>6642.01</v>
      </c>
      <c r="G239" s="130">
        <f t="shared" ref="G239:G246" si="5">E239*F239</f>
        <v>132840.20000000001</v>
      </c>
    </row>
    <row r="240" spans="1:7" ht="36">
      <c r="A240" s="10">
        <v>14</v>
      </c>
      <c r="B240" s="98" t="s">
        <v>386</v>
      </c>
      <c r="C240" s="21" t="s">
        <v>387</v>
      </c>
      <c r="D240" s="98" t="s">
        <v>370</v>
      </c>
      <c r="E240" s="101">
        <v>20</v>
      </c>
      <c r="F240" s="130">
        <v>4428.01</v>
      </c>
      <c r="G240" s="130">
        <f t="shared" si="5"/>
        <v>88560.2</v>
      </c>
    </row>
    <row r="241" spans="1:7" ht="36">
      <c r="A241" s="10">
        <v>15</v>
      </c>
      <c r="B241" s="98" t="s">
        <v>388</v>
      </c>
      <c r="C241" s="21" t="s">
        <v>389</v>
      </c>
      <c r="D241" s="98" t="s">
        <v>351</v>
      </c>
      <c r="E241" s="101">
        <v>18</v>
      </c>
      <c r="F241" s="130">
        <v>2656.8</v>
      </c>
      <c r="G241" s="130">
        <f t="shared" si="5"/>
        <v>47822.400000000001</v>
      </c>
    </row>
    <row r="242" spans="1:7" ht="24">
      <c r="A242" s="10">
        <v>16</v>
      </c>
      <c r="B242" s="98" t="s">
        <v>390</v>
      </c>
      <c r="C242" s="21" t="s">
        <v>391</v>
      </c>
      <c r="D242" s="98" t="s">
        <v>351</v>
      </c>
      <c r="E242" s="101">
        <v>20</v>
      </c>
      <c r="F242" s="130">
        <v>8856.02</v>
      </c>
      <c r="G242" s="130">
        <f t="shared" si="5"/>
        <v>177120.4</v>
      </c>
    </row>
    <row r="243" spans="1:7" ht="36">
      <c r="A243" s="10">
        <v>17</v>
      </c>
      <c r="B243" s="98" t="s">
        <v>392</v>
      </c>
      <c r="C243" s="21" t="s">
        <v>393</v>
      </c>
      <c r="D243" s="98" t="s">
        <v>374</v>
      </c>
      <c r="E243" s="101">
        <v>20</v>
      </c>
      <c r="F243" s="130">
        <v>3099.61</v>
      </c>
      <c r="G243" s="130">
        <f t="shared" si="5"/>
        <v>61992.2</v>
      </c>
    </row>
    <row r="244" spans="1:7" ht="36">
      <c r="A244" s="10">
        <v>18</v>
      </c>
      <c r="B244" s="98" t="s">
        <v>394</v>
      </c>
      <c r="C244" s="21" t="s">
        <v>395</v>
      </c>
      <c r="D244" s="98" t="s">
        <v>311</v>
      </c>
      <c r="E244" s="101">
        <v>9</v>
      </c>
      <c r="F244" s="130">
        <v>4428.01</v>
      </c>
      <c r="G244" s="130">
        <f t="shared" si="5"/>
        <v>39852.089999999997</v>
      </c>
    </row>
    <row r="245" spans="1:7" ht="24">
      <c r="A245" s="10">
        <v>19</v>
      </c>
      <c r="B245" s="98" t="s">
        <v>396</v>
      </c>
      <c r="C245" s="21" t="s">
        <v>397</v>
      </c>
      <c r="D245" s="98" t="s">
        <v>370</v>
      </c>
      <c r="E245" s="101">
        <v>6</v>
      </c>
      <c r="F245" s="130">
        <v>2214</v>
      </c>
      <c r="G245" s="130">
        <f t="shared" si="5"/>
        <v>13284</v>
      </c>
    </row>
    <row r="246" spans="1:7" ht="24">
      <c r="A246" s="10">
        <v>20</v>
      </c>
      <c r="B246" s="98" t="s">
        <v>398</v>
      </c>
      <c r="C246" s="21" t="s">
        <v>399</v>
      </c>
      <c r="D246" s="98" t="s">
        <v>370</v>
      </c>
      <c r="E246" s="101">
        <v>6</v>
      </c>
      <c r="F246" s="130">
        <v>1771.2</v>
      </c>
      <c r="G246" s="130">
        <f t="shared" si="5"/>
        <v>10627.2</v>
      </c>
    </row>
    <row r="247" spans="1:7" ht="13.5">
      <c r="A247" s="506"/>
      <c r="B247" s="507"/>
      <c r="C247" s="508"/>
      <c r="D247" s="507"/>
      <c r="E247" s="509"/>
      <c r="F247" s="510"/>
      <c r="G247" s="510"/>
    </row>
    <row r="248" spans="1:7" ht="13.5">
      <c r="A248" s="506"/>
      <c r="B248" s="507"/>
      <c r="C248" s="508"/>
      <c r="D248" s="507"/>
      <c r="E248" s="509"/>
      <c r="F248" s="510"/>
      <c r="G248" s="510"/>
    </row>
    <row r="249" spans="1:7" ht="13.5">
      <c r="A249" s="506"/>
      <c r="B249" s="507"/>
      <c r="C249" s="508"/>
      <c r="D249" s="507"/>
      <c r="E249" s="509"/>
      <c r="F249" s="510"/>
      <c r="G249" s="510"/>
    </row>
    <row r="250" spans="1:7" ht="13.5">
      <c r="A250" s="506"/>
      <c r="B250" s="507"/>
      <c r="C250" s="508"/>
      <c r="D250" s="507"/>
      <c r="E250" s="509"/>
      <c r="F250" s="510"/>
      <c r="G250" s="510"/>
    </row>
    <row r="251" spans="1:7" ht="13.5">
      <c r="A251" s="506"/>
      <c r="B251" s="507"/>
      <c r="C251" s="508"/>
      <c r="D251" s="507"/>
      <c r="E251" s="509"/>
      <c r="F251" s="510"/>
      <c r="G251" s="510"/>
    </row>
    <row r="252" spans="1:7" ht="13.5">
      <c r="A252" s="506"/>
      <c r="B252" s="507"/>
      <c r="C252" s="508"/>
      <c r="D252" s="507"/>
      <c r="E252" s="509"/>
      <c r="F252" s="510"/>
      <c r="G252" s="510"/>
    </row>
    <row r="253" spans="1:7" ht="15" customHeight="1">
      <c r="A253" s="10"/>
      <c r="B253" s="98"/>
      <c r="C253" s="21"/>
      <c r="D253" s="98"/>
      <c r="E253" s="101"/>
      <c r="F253" s="130"/>
      <c r="G253" s="130"/>
    </row>
    <row r="254" spans="1:7" ht="15" customHeight="1">
      <c r="A254" s="98"/>
      <c r="B254" s="163"/>
      <c r="C254" s="174"/>
      <c r="D254" s="163"/>
      <c r="E254" s="101"/>
      <c r="F254" s="130"/>
      <c r="G254" s="130"/>
    </row>
    <row r="255" spans="1:7" ht="15" customHeight="1">
      <c r="A255" s="14"/>
      <c r="B255" s="165"/>
      <c r="C255" s="175"/>
      <c r="D255" s="165"/>
      <c r="E255" s="106"/>
      <c r="F255" s="138"/>
      <c r="G255" s="138"/>
    </row>
    <row r="256" spans="1:7" ht="15" customHeight="1">
      <c r="A256" s="706" t="s">
        <v>557</v>
      </c>
      <c r="B256" s="706"/>
      <c r="C256" s="706"/>
      <c r="D256" s="706"/>
      <c r="E256" s="706"/>
      <c r="F256" s="706"/>
      <c r="G256" s="166">
        <f>SUM(G235:G255)</f>
        <v>13535191.630000001</v>
      </c>
    </row>
    <row r="257" spans="1:7" ht="15" customHeight="1">
      <c r="A257" s="116"/>
      <c r="B257" s="116"/>
      <c r="C257" s="116"/>
      <c r="D257" s="116"/>
      <c r="E257" s="116"/>
      <c r="F257" s="116"/>
      <c r="G257" s="511"/>
    </row>
    <row r="258" spans="1:7" ht="15" customHeight="1">
      <c r="A258" s="116"/>
      <c r="B258" s="116"/>
      <c r="C258" s="116"/>
      <c r="D258" s="116"/>
      <c r="E258" s="116"/>
      <c r="F258" s="116"/>
      <c r="G258" s="511"/>
    </row>
    <row r="259" spans="1:7" ht="15" customHeight="1">
      <c r="A259" s="116"/>
      <c r="B259" s="116"/>
      <c r="C259" s="116"/>
      <c r="D259" s="116"/>
      <c r="E259" s="116"/>
      <c r="F259" s="116"/>
      <c r="G259" s="511"/>
    </row>
    <row r="260" spans="1:7" ht="15" customHeight="1">
      <c r="A260" s="116"/>
      <c r="B260" s="116"/>
      <c r="C260" s="116"/>
      <c r="D260" s="116"/>
      <c r="E260" s="116"/>
      <c r="F260" s="116"/>
      <c r="G260" s="511"/>
    </row>
    <row r="261" spans="1:7" ht="15" customHeight="1">
      <c r="A261" s="116"/>
      <c r="B261" s="116"/>
      <c r="C261" s="116"/>
      <c r="D261" s="116"/>
      <c r="E261" s="116"/>
      <c r="F261" s="116"/>
      <c r="G261" s="511"/>
    </row>
    <row r="262" spans="1:7" ht="15" customHeight="1">
      <c r="A262" s="116"/>
      <c r="B262" s="116"/>
      <c r="C262" s="116"/>
      <c r="D262" s="116"/>
      <c r="E262" s="116"/>
      <c r="F262" s="116"/>
      <c r="G262" s="511"/>
    </row>
    <row r="263" spans="1:7" ht="15" customHeight="1">
      <c r="A263" s="116"/>
      <c r="B263" s="116"/>
      <c r="C263" s="116"/>
      <c r="D263" s="116"/>
      <c r="E263" s="116"/>
      <c r="F263" s="116"/>
      <c r="G263" s="511"/>
    </row>
    <row r="264" spans="1:7" ht="15" customHeight="1">
      <c r="A264" s="116"/>
      <c r="B264" s="116"/>
      <c r="C264" s="116"/>
      <c r="D264" s="116"/>
      <c r="E264" s="116"/>
      <c r="F264" s="116"/>
      <c r="G264" s="511"/>
    </row>
    <row r="265" spans="1:7" ht="15" customHeight="1">
      <c r="A265" s="116"/>
      <c r="B265" s="116"/>
      <c r="C265" s="116"/>
      <c r="D265" s="116"/>
      <c r="E265" s="116"/>
      <c r="F265" s="116"/>
      <c r="G265" s="511"/>
    </row>
    <row r="266" spans="1:7" ht="15" customHeight="1">
      <c r="A266" s="116"/>
      <c r="B266" s="116"/>
      <c r="C266" s="116"/>
      <c r="D266" s="116"/>
      <c r="E266" s="116"/>
      <c r="F266" s="116"/>
      <c r="G266" s="511"/>
    </row>
    <row r="267" spans="1:7" ht="15" customHeight="1">
      <c r="A267" s="116"/>
      <c r="B267" s="116"/>
      <c r="C267" s="116"/>
      <c r="D267" s="116"/>
      <c r="E267" s="116"/>
      <c r="F267" s="116"/>
      <c r="G267" s="511"/>
    </row>
    <row r="269" spans="1:7" ht="13.5">
      <c r="A269" s="116"/>
      <c r="B269" s="117"/>
      <c r="C269" s="118"/>
      <c r="D269" s="119"/>
      <c r="E269" s="119"/>
      <c r="F269" s="119"/>
      <c r="G269" s="120"/>
    </row>
    <row r="270" spans="1:7" s="1" customFormat="1" ht="23.25" customHeight="1">
      <c r="A270" s="121"/>
      <c r="B270" s="122"/>
      <c r="C270" s="122"/>
      <c r="D270" s="123"/>
      <c r="E270" s="123"/>
      <c r="F270" s="123"/>
      <c r="G270" s="121"/>
    </row>
    <row r="271" spans="1:7" ht="13.5">
      <c r="A271" s="124"/>
      <c r="B271" s="117"/>
      <c r="C271" s="118"/>
      <c r="D271" s="119"/>
      <c r="E271" s="119"/>
      <c r="F271" s="119"/>
      <c r="G271" s="120"/>
    </row>
    <row r="272" spans="1:7" ht="13.5">
      <c r="A272" s="116"/>
      <c r="B272" s="117"/>
      <c r="C272" s="118"/>
      <c r="D272" s="119"/>
      <c r="E272" s="119"/>
      <c r="F272" s="119"/>
      <c r="G272" s="120"/>
    </row>
    <row r="273" spans="1:9" ht="15" customHeight="1">
      <c r="A273" s="706" t="s">
        <v>558</v>
      </c>
      <c r="B273" s="706"/>
      <c r="C273" s="706"/>
      <c r="D273" s="706"/>
      <c r="E273" s="706"/>
      <c r="F273" s="706"/>
      <c r="G273" s="94">
        <f>G256</f>
        <v>13535191.630000001</v>
      </c>
    </row>
    <row r="274" spans="1:9" s="181" customFormat="1" ht="15" customHeight="1">
      <c r="A274" s="176">
        <v>6.5</v>
      </c>
      <c r="B274" s="177"/>
      <c r="C274" s="188" t="s">
        <v>400</v>
      </c>
      <c r="D274" s="177"/>
      <c r="E274" s="184"/>
      <c r="F274" s="185"/>
      <c r="G274" s="185"/>
    </row>
    <row r="275" spans="1:9" s="181" customFormat="1" ht="13.5">
      <c r="A275" s="176"/>
      <c r="B275" s="189"/>
      <c r="C275" s="190" t="s">
        <v>313</v>
      </c>
      <c r="D275" s="189"/>
      <c r="E275" s="187"/>
      <c r="F275" s="180"/>
      <c r="G275" s="180"/>
    </row>
    <row r="276" spans="1:9" ht="63.75">
      <c r="A276" s="98">
        <v>1</v>
      </c>
      <c r="B276" s="98" t="s">
        <v>314</v>
      </c>
      <c r="C276" s="191" t="s">
        <v>315</v>
      </c>
      <c r="D276" s="98" t="s">
        <v>8</v>
      </c>
      <c r="E276" s="101">
        <v>1</v>
      </c>
      <c r="F276" s="130">
        <v>2214004.08</v>
      </c>
      <c r="G276" s="130">
        <f>E276*F276</f>
        <v>2214004.08</v>
      </c>
    </row>
    <row r="277" spans="1:9" ht="15" customHeight="1">
      <c r="A277" s="10" t="s">
        <v>316</v>
      </c>
      <c r="B277" s="98"/>
      <c r="C277" s="178" t="s">
        <v>401</v>
      </c>
      <c r="D277" s="98"/>
      <c r="E277" s="101"/>
      <c r="F277" s="130"/>
      <c r="G277" s="130"/>
    </row>
    <row r="278" spans="1:9" ht="15" customHeight="1">
      <c r="A278" s="10" t="s">
        <v>316</v>
      </c>
      <c r="B278" s="98"/>
      <c r="C278" s="178" t="s">
        <v>318</v>
      </c>
      <c r="D278" s="98"/>
      <c r="E278" s="101"/>
      <c r="F278" s="130"/>
      <c r="G278" s="130"/>
    </row>
    <row r="279" spans="1:9" ht="15" customHeight="1">
      <c r="A279" s="10" t="s">
        <v>316</v>
      </c>
      <c r="B279" s="98"/>
      <c r="C279" s="178" t="s">
        <v>319</v>
      </c>
      <c r="D279" s="98"/>
      <c r="E279" s="101"/>
      <c r="F279" s="130"/>
      <c r="G279" s="130"/>
    </row>
    <row r="280" spans="1:9" ht="15" customHeight="1">
      <c r="A280" s="10">
        <v>2</v>
      </c>
      <c r="B280" s="98" t="s">
        <v>107</v>
      </c>
      <c r="C280" s="21" t="s">
        <v>319</v>
      </c>
      <c r="D280" s="98" t="s">
        <v>320</v>
      </c>
      <c r="E280" s="101">
        <v>184</v>
      </c>
      <c r="F280" s="130">
        <v>442.8</v>
      </c>
      <c r="G280" s="130">
        <f>E280*F280</f>
        <v>81475.199999999997</v>
      </c>
    </row>
    <row r="281" spans="1:9" ht="15" customHeight="1">
      <c r="A281" s="10" t="s">
        <v>316</v>
      </c>
      <c r="B281" s="98"/>
      <c r="C281" s="178" t="s">
        <v>321</v>
      </c>
      <c r="D281" s="98"/>
      <c r="E281" s="101"/>
      <c r="F281" s="130"/>
      <c r="G281" s="130"/>
    </row>
    <row r="282" spans="1:9" ht="24">
      <c r="A282" s="10">
        <v>3</v>
      </c>
      <c r="B282" s="98" t="s">
        <v>178</v>
      </c>
      <c r="C282" s="21" t="s">
        <v>322</v>
      </c>
      <c r="D282" s="98" t="s">
        <v>323</v>
      </c>
      <c r="E282" s="101">
        <v>1320</v>
      </c>
      <c r="F282" s="130">
        <v>3099.61</v>
      </c>
      <c r="G282" s="130">
        <f t="shared" ref="G282:G293" si="6">E282*F282</f>
        <v>4091485.2</v>
      </c>
    </row>
    <row r="283" spans="1:9" ht="15" customHeight="1">
      <c r="A283" s="10">
        <v>4</v>
      </c>
      <c r="B283" s="98" t="s">
        <v>324</v>
      </c>
      <c r="C283" s="21" t="s">
        <v>325</v>
      </c>
      <c r="D283" s="98" t="s">
        <v>323</v>
      </c>
      <c r="E283" s="101">
        <v>110</v>
      </c>
      <c r="F283" s="130">
        <v>5313.61</v>
      </c>
      <c r="G283" s="130">
        <f t="shared" si="6"/>
        <v>584497.1</v>
      </c>
    </row>
    <row r="284" spans="1:9" ht="15" customHeight="1">
      <c r="A284" s="10">
        <v>5</v>
      </c>
      <c r="B284" s="98" t="s">
        <v>172</v>
      </c>
      <c r="C284" s="21" t="s">
        <v>326</v>
      </c>
      <c r="D284" s="98" t="s">
        <v>323</v>
      </c>
      <c r="E284" s="101">
        <v>10</v>
      </c>
      <c r="F284" s="130">
        <v>7084.81</v>
      </c>
      <c r="G284" s="130">
        <f t="shared" si="6"/>
        <v>70848.100000000006</v>
      </c>
    </row>
    <row r="285" spans="1:9" ht="15" customHeight="1">
      <c r="A285" s="10">
        <v>6</v>
      </c>
      <c r="B285" s="98" t="s">
        <v>176</v>
      </c>
      <c r="C285" s="21" t="s">
        <v>177</v>
      </c>
      <c r="D285" s="98" t="s">
        <v>327</v>
      </c>
      <c r="E285" s="101">
        <v>1</v>
      </c>
      <c r="F285" s="130">
        <v>885601.63</v>
      </c>
      <c r="G285" s="130">
        <f t="shared" si="6"/>
        <v>885601.63</v>
      </c>
    </row>
    <row r="286" spans="1:9" ht="24">
      <c r="A286" s="10">
        <v>7</v>
      </c>
      <c r="B286" s="98" t="s">
        <v>328</v>
      </c>
      <c r="C286" s="21" t="s">
        <v>329</v>
      </c>
      <c r="D286" s="98" t="s">
        <v>327</v>
      </c>
      <c r="E286" s="101">
        <v>1</v>
      </c>
      <c r="F286" s="130">
        <v>4428008.17</v>
      </c>
      <c r="G286" s="130">
        <f t="shared" si="6"/>
        <v>4428008.17</v>
      </c>
      <c r="I286" s="537">
        <f>G286/30</f>
        <v>147600.26999999999</v>
      </c>
    </row>
    <row r="287" spans="1:9" ht="15" customHeight="1">
      <c r="A287" s="10">
        <v>8</v>
      </c>
      <c r="B287" s="98" t="s">
        <v>297</v>
      </c>
      <c r="C287" s="21" t="s">
        <v>298</v>
      </c>
      <c r="D287" s="98" t="s">
        <v>327</v>
      </c>
      <c r="E287" s="101">
        <v>1</v>
      </c>
      <c r="F287" s="130">
        <v>1771203.27</v>
      </c>
      <c r="G287" s="130">
        <f t="shared" si="6"/>
        <v>1771203.27</v>
      </c>
    </row>
    <row r="288" spans="1:9" ht="15" customHeight="1">
      <c r="A288" s="10" t="s">
        <v>316</v>
      </c>
      <c r="B288" s="98"/>
      <c r="C288" s="178" t="s">
        <v>330</v>
      </c>
      <c r="D288" s="98"/>
      <c r="E288" s="101"/>
      <c r="F288" s="130"/>
      <c r="G288" s="130">
        <f t="shared" si="6"/>
        <v>0</v>
      </c>
    </row>
    <row r="289" spans="1:7" ht="24">
      <c r="A289" s="10">
        <v>9</v>
      </c>
      <c r="B289" s="98" t="s">
        <v>275</v>
      </c>
      <c r="C289" s="21" t="s">
        <v>402</v>
      </c>
      <c r="D289" s="98" t="s">
        <v>323</v>
      </c>
      <c r="E289" s="101">
        <v>175</v>
      </c>
      <c r="F289" s="130">
        <v>28339.25</v>
      </c>
      <c r="G289" s="130">
        <f t="shared" si="6"/>
        <v>4959368.75</v>
      </c>
    </row>
    <row r="290" spans="1:7" ht="24">
      <c r="A290" s="10">
        <v>10</v>
      </c>
      <c r="B290" s="98" t="s">
        <v>277</v>
      </c>
      <c r="C290" s="21" t="s">
        <v>403</v>
      </c>
      <c r="D290" s="98" t="s">
        <v>323</v>
      </c>
      <c r="E290" s="101">
        <v>190</v>
      </c>
      <c r="F290" s="130">
        <v>26568.05</v>
      </c>
      <c r="G290" s="130">
        <f t="shared" si="6"/>
        <v>5047929.5</v>
      </c>
    </row>
    <row r="291" spans="1:7" ht="24">
      <c r="A291" s="10">
        <v>11</v>
      </c>
      <c r="B291" s="98" t="s">
        <v>333</v>
      </c>
      <c r="C291" s="21" t="s">
        <v>334</v>
      </c>
      <c r="D291" s="98" t="s">
        <v>323</v>
      </c>
      <c r="E291" s="101">
        <v>11</v>
      </c>
      <c r="F291" s="130">
        <v>22140.04</v>
      </c>
      <c r="G291" s="130">
        <f t="shared" si="6"/>
        <v>243540.44</v>
      </c>
    </row>
    <row r="292" spans="1:7" ht="13.5">
      <c r="A292" s="10">
        <v>12</v>
      </c>
      <c r="B292" s="98" t="s">
        <v>335</v>
      </c>
      <c r="C292" s="21" t="s">
        <v>336</v>
      </c>
      <c r="D292" s="98" t="s">
        <v>323</v>
      </c>
      <c r="E292" s="101">
        <v>13</v>
      </c>
      <c r="F292" s="130">
        <v>24796.85</v>
      </c>
      <c r="G292" s="130">
        <f t="shared" si="6"/>
        <v>322359.05</v>
      </c>
    </row>
    <row r="293" spans="1:7" ht="24">
      <c r="A293" s="10">
        <v>13</v>
      </c>
      <c r="B293" s="98" t="s">
        <v>404</v>
      </c>
      <c r="C293" s="21" t="s">
        <v>405</v>
      </c>
      <c r="D293" s="98" t="s">
        <v>323</v>
      </c>
      <c r="E293" s="101">
        <v>20</v>
      </c>
      <c r="F293" s="130">
        <v>26568.05</v>
      </c>
      <c r="G293" s="130">
        <f t="shared" si="6"/>
        <v>531361</v>
      </c>
    </row>
    <row r="294" spans="1:7" ht="15" customHeight="1">
      <c r="A294" s="706" t="s">
        <v>557</v>
      </c>
      <c r="B294" s="706"/>
      <c r="C294" s="706"/>
      <c r="D294" s="706"/>
      <c r="E294" s="706"/>
      <c r="F294" s="706"/>
      <c r="G294" s="166">
        <f>SUM(G273:G293)</f>
        <v>38766873.119999997</v>
      </c>
    </row>
    <row r="295" spans="1:7" ht="15" customHeight="1">
      <c r="A295" s="116"/>
      <c r="B295" s="116"/>
      <c r="C295" s="116"/>
      <c r="D295" s="116"/>
      <c r="E295" s="116"/>
      <c r="F295" s="116"/>
      <c r="G295" s="511"/>
    </row>
    <row r="296" spans="1:7" ht="15" customHeight="1">
      <c r="A296" s="116"/>
      <c r="B296" s="116"/>
      <c r="C296" s="116"/>
      <c r="D296" s="116"/>
      <c r="E296" s="116"/>
      <c r="F296" s="116"/>
      <c r="G296" s="511"/>
    </row>
    <row r="297" spans="1:7" ht="15" customHeight="1">
      <c r="A297" s="116"/>
      <c r="B297" s="116"/>
      <c r="C297" s="116"/>
      <c r="D297" s="116"/>
      <c r="E297" s="116"/>
      <c r="F297" s="116"/>
      <c r="G297" s="511"/>
    </row>
    <row r="298" spans="1:7" ht="15" customHeight="1">
      <c r="A298" s="116"/>
      <c r="B298" s="116"/>
      <c r="C298" s="116"/>
      <c r="D298" s="116"/>
      <c r="E298" s="116"/>
      <c r="F298" s="116"/>
      <c r="G298" s="511"/>
    </row>
    <row r="299" spans="1:7" ht="15" customHeight="1">
      <c r="A299" s="116"/>
      <c r="B299" s="116"/>
      <c r="C299" s="116"/>
      <c r="D299" s="116"/>
      <c r="E299" s="116"/>
      <c r="F299" s="116"/>
      <c r="G299" s="511"/>
    </row>
    <row r="300" spans="1:7" ht="15" customHeight="1">
      <c r="A300" s="116"/>
      <c r="B300" s="116"/>
      <c r="C300" s="116"/>
      <c r="D300" s="116"/>
      <c r="E300" s="116"/>
      <c r="F300" s="116"/>
      <c r="G300" s="511"/>
    </row>
    <row r="301" spans="1:7" ht="15" customHeight="1">
      <c r="A301" s="116"/>
      <c r="B301" s="116"/>
      <c r="C301" s="116"/>
      <c r="D301" s="116"/>
      <c r="E301" s="116"/>
      <c r="F301" s="116"/>
      <c r="G301" s="511"/>
    </row>
    <row r="302" spans="1:7" ht="15" customHeight="1">
      <c r="A302" s="116"/>
      <c r="B302" s="116"/>
      <c r="C302" s="116"/>
      <c r="D302" s="116"/>
      <c r="E302" s="116"/>
      <c r="F302" s="116"/>
      <c r="G302" s="511"/>
    </row>
    <row r="303" spans="1:7" ht="15" customHeight="1">
      <c r="A303" s="116"/>
      <c r="B303" s="116"/>
      <c r="C303" s="116"/>
      <c r="D303" s="116"/>
      <c r="E303" s="116"/>
      <c r="F303" s="116"/>
      <c r="G303" s="511"/>
    </row>
    <row r="304" spans="1:7" ht="15" customHeight="1">
      <c r="A304" s="116"/>
      <c r="B304" s="116"/>
      <c r="C304" s="116"/>
      <c r="D304" s="116"/>
      <c r="E304" s="116"/>
      <c r="F304" s="116"/>
      <c r="G304" s="511"/>
    </row>
    <row r="305" spans="1:7" ht="15" customHeight="1">
      <c r="A305" s="116"/>
      <c r="B305" s="116"/>
      <c r="C305" s="116"/>
      <c r="D305" s="116"/>
      <c r="E305" s="116"/>
      <c r="F305" s="116"/>
      <c r="G305" s="511"/>
    </row>
    <row r="306" spans="1:7" ht="15" customHeight="1">
      <c r="A306" s="116"/>
      <c r="B306" s="116"/>
      <c r="C306" s="116"/>
      <c r="D306" s="116"/>
      <c r="E306" s="116"/>
      <c r="F306" s="116"/>
      <c r="G306" s="511"/>
    </row>
    <row r="307" spans="1:7" ht="15" customHeight="1">
      <c r="A307" s="116"/>
      <c r="B307" s="116"/>
      <c r="C307" s="116"/>
      <c r="D307" s="116"/>
      <c r="E307" s="116"/>
      <c r="F307" s="116"/>
      <c r="G307" s="511"/>
    </row>
    <row r="308" spans="1:7" ht="15" customHeight="1">
      <c r="A308" s="116"/>
      <c r="B308" s="116"/>
      <c r="C308" s="116"/>
      <c r="D308" s="116"/>
      <c r="E308" s="116"/>
      <c r="F308" s="116"/>
      <c r="G308" s="511"/>
    </row>
    <row r="309" spans="1:7" ht="15" customHeight="1">
      <c r="A309" s="116"/>
      <c r="B309" s="116"/>
      <c r="C309" s="116"/>
      <c r="D309" s="116"/>
      <c r="E309" s="116"/>
      <c r="F309" s="116"/>
      <c r="G309" s="511"/>
    </row>
    <row r="310" spans="1:7" ht="15" customHeight="1">
      <c r="A310" s="116"/>
      <c r="B310" s="116"/>
      <c r="C310" s="116"/>
      <c r="D310" s="116"/>
      <c r="E310" s="116"/>
      <c r="F310" s="116"/>
      <c r="G310" s="511"/>
    </row>
    <row r="311" spans="1:7" ht="13.5">
      <c r="A311" s="116"/>
      <c r="B311" s="117"/>
      <c r="C311" s="118"/>
      <c r="D311" s="119"/>
      <c r="E311" s="119"/>
      <c r="F311" s="119"/>
      <c r="G311" s="120"/>
    </row>
    <row r="312" spans="1:7" s="1" customFormat="1" ht="20.25" customHeight="1">
      <c r="A312" s="121"/>
      <c r="B312" s="122"/>
      <c r="C312" s="122"/>
      <c r="D312" s="123"/>
      <c r="E312" s="123"/>
      <c r="F312" s="123"/>
      <c r="G312" s="121"/>
    </row>
    <row r="313" spans="1:7" ht="13.5">
      <c r="A313" s="124"/>
      <c r="B313" s="117"/>
      <c r="C313" s="118"/>
      <c r="D313" s="119"/>
      <c r="E313" s="119"/>
      <c r="F313" s="119"/>
      <c r="G313" s="120"/>
    </row>
    <row r="314" spans="1:7" ht="13.5">
      <c r="A314" s="116"/>
      <c r="B314" s="117"/>
      <c r="C314" s="118"/>
      <c r="D314" s="119"/>
      <c r="E314" s="119"/>
      <c r="F314" s="119"/>
      <c r="G314" s="120"/>
    </row>
    <row r="315" spans="1:7" ht="15" customHeight="1">
      <c r="A315" s="706" t="s">
        <v>558</v>
      </c>
      <c r="B315" s="706"/>
      <c r="C315" s="706"/>
      <c r="D315" s="706"/>
      <c r="E315" s="706"/>
      <c r="F315" s="706"/>
      <c r="G315" s="94">
        <f>G294</f>
        <v>38766873.119999997</v>
      </c>
    </row>
    <row r="316" spans="1:7" ht="15" customHeight="1">
      <c r="A316" s="10" t="s">
        <v>316</v>
      </c>
      <c r="B316" s="98"/>
      <c r="C316" s="178" t="s">
        <v>337</v>
      </c>
      <c r="D316" s="98"/>
      <c r="E316" s="9"/>
      <c r="F316" s="127"/>
      <c r="G316" s="127"/>
    </row>
    <row r="317" spans="1:7" ht="24">
      <c r="A317" s="10">
        <v>14</v>
      </c>
      <c r="B317" s="163" t="s">
        <v>255</v>
      </c>
      <c r="C317" s="173" t="s">
        <v>406</v>
      </c>
      <c r="D317" s="163" t="s">
        <v>320</v>
      </c>
      <c r="E317" s="13">
        <v>95</v>
      </c>
      <c r="F317" s="130">
        <v>2656.8</v>
      </c>
      <c r="G317" s="130">
        <f>E317*F317</f>
        <v>252396</v>
      </c>
    </row>
    <row r="318" spans="1:7" ht="13.5">
      <c r="A318" s="98">
        <v>15</v>
      </c>
      <c r="B318" s="98" t="s">
        <v>339</v>
      </c>
      <c r="C318" s="21" t="s">
        <v>407</v>
      </c>
      <c r="D318" s="98" t="s">
        <v>320</v>
      </c>
      <c r="E318" s="101">
        <v>490</v>
      </c>
      <c r="F318" s="130">
        <v>2656.8</v>
      </c>
      <c r="G318" s="130">
        <f>E318*F318</f>
        <v>1301832</v>
      </c>
    </row>
    <row r="319" spans="1:7" ht="34.5" customHeight="1">
      <c r="A319" s="10">
        <v>16</v>
      </c>
      <c r="B319" s="98" t="s">
        <v>361</v>
      </c>
      <c r="C319" s="21" t="s">
        <v>408</v>
      </c>
      <c r="D319" s="98" t="s">
        <v>320</v>
      </c>
      <c r="E319" s="101">
        <v>89</v>
      </c>
      <c r="F319" s="130">
        <v>2656.8</v>
      </c>
      <c r="G319" s="130">
        <f>E319*F319</f>
        <v>236455.2</v>
      </c>
    </row>
    <row r="320" spans="1:7" s="181" customFormat="1" ht="15" customHeight="1">
      <c r="A320" s="176" t="s">
        <v>316</v>
      </c>
      <c r="B320" s="177"/>
      <c r="C320" s="178" t="s">
        <v>341</v>
      </c>
      <c r="D320" s="177"/>
      <c r="E320" s="179"/>
      <c r="F320" s="180"/>
      <c r="G320" s="180"/>
    </row>
    <row r="321" spans="1:7" ht="34.5" customHeight="1">
      <c r="A321" s="10">
        <v>17</v>
      </c>
      <c r="B321" s="98" t="s">
        <v>342</v>
      </c>
      <c r="C321" s="21" t="s">
        <v>409</v>
      </c>
      <c r="D321" s="98" t="s">
        <v>344</v>
      </c>
      <c r="E321" s="101">
        <v>14</v>
      </c>
      <c r="F321" s="130">
        <v>287820.53000000003</v>
      </c>
      <c r="G321" s="130">
        <f t="shared" ref="G321:G330" si="7">E321*F321</f>
        <v>4029487.42</v>
      </c>
    </row>
    <row r="322" spans="1:7" ht="24">
      <c r="A322" s="10">
        <v>18</v>
      </c>
      <c r="B322" s="98" t="s">
        <v>345</v>
      </c>
      <c r="C322" s="21" t="s">
        <v>410</v>
      </c>
      <c r="D322" s="98" t="s">
        <v>344</v>
      </c>
      <c r="E322" s="101">
        <v>16</v>
      </c>
      <c r="F322" s="130">
        <v>287820.53000000003</v>
      </c>
      <c r="G322" s="130">
        <f t="shared" si="7"/>
        <v>4605128.4800000004</v>
      </c>
    </row>
    <row r="323" spans="1:7" ht="24">
      <c r="A323" s="10">
        <v>19</v>
      </c>
      <c r="B323" s="98" t="s">
        <v>347</v>
      </c>
      <c r="C323" s="21" t="s">
        <v>411</v>
      </c>
      <c r="D323" s="98" t="s">
        <v>344</v>
      </c>
      <c r="E323" s="101">
        <v>0.2</v>
      </c>
      <c r="F323" s="130">
        <v>287820.55</v>
      </c>
      <c r="G323" s="130">
        <f t="shared" si="7"/>
        <v>57564.11</v>
      </c>
    </row>
    <row r="324" spans="1:7" ht="46.5" customHeight="1">
      <c r="A324" s="10">
        <v>20</v>
      </c>
      <c r="B324" s="98" t="s">
        <v>412</v>
      </c>
      <c r="C324" s="21" t="s">
        <v>413</v>
      </c>
      <c r="D324" s="98" t="s">
        <v>344</v>
      </c>
      <c r="E324" s="101">
        <v>2.75</v>
      </c>
      <c r="F324" s="130">
        <v>287820.53000000003</v>
      </c>
      <c r="G324" s="130">
        <f t="shared" si="7"/>
        <v>791506.46</v>
      </c>
    </row>
    <row r="325" spans="1:7" s="181" customFormat="1" ht="15" customHeight="1">
      <c r="A325" s="176" t="s">
        <v>316</v>
      </c>
      <c r="B325" s="177"/>
      <c r="C325" s="178" t="s">
        <v>349</v>
      </c>
      <c r="D325" s="177"/>
      <c r="E325" s="179"/>
      <c r="F325" s="180"/>
      <c r="G325" s="130">
        <f t="shared" si="7"/>
        <v>0</v>
      </c>
    </row>
    <row r="326" spans="1:7" ht="36">
      <c r="A326" s="10">
        <v>21</v>
      </c>
      <c r="B326" s="98" t="s">
        <v>269</v>
      </c>
      <c r="C326" s="21" t="s">
        <v>350</v>
      </c>
      <c r="D326" s="98" t="s">
        <v>351</v>
      </c>
      <c r="E326" s="101">
        <v>110</v>
      </c>
      <c r="F326" s="130">
        <v>2214</v>
      </c>
      <c r="G326" s="130">
        <f t="shared" si="7"/>
        <v>243540</v>
      </c>
    </row>
    <row r="327" spans="1:7" s="181" customFormat="1" ht="15" customHeight="1">
      <c r="A327" s="176" t="s">
        <v>316</v>
      </c>
      <c r="B327" s="177"/>
      <c r="C327" s="178" t="s">
        <v>352</v>
      </c>
      <c r="D327" s="177"/>
      <c r="E327" s="179"/>
      <c r="F327" s="180"/>
      <c r="G327" s="130">
        <f t="shared" si="7"/>
        <v>0</v>
      </c>
    </row>
    <row r="328" spans="1:7" ht="24">
      <c r="A328" s="10">
        <v>22</v>
      </c>
      <c r="B328" s="98" t="s">
        <v>263</v>
      </c>
      <c r="C328" s="21" t="s">
        <v>353</v>
      </c>
      <c r="D328" s="98" t="s">
        <v>323</v>
      </c>
      <c r="E328" s="101">
        <v>25</v>
      </c>
      <c r="F328" s="130">
        <v>5313.61</v>
      </c>
      <c r="G328" s="130">
        <f t="shared" si="7"/>
        <v>132840.25</v>
      </c>
    </row>
    <row r="329" spans="1:7" ht="24">
      <c r="A329" s="10">
        <v>23</v>
      </c>
      <c r="B329" s="98" t="s">
        <v>265</v>
      </c>
      <c r="C329" s="21" t="s">
        <v>354</v>
      </c>
      <c r="D329" s="98" t="s">
        <v>323</v>
      </c>
      <c r="E329" s="101">
        <v>4</v>
      </c>
      <c r="F329" s="130">
        <v>6199.21</v>
      </c>
      <c r="G329" s="130">
        <f t="shared" si="7"/>
        <v>24796.84</v>
      </c>
    </row>
    <row r="330" spans="1:7" ht="24">
      <c r="A330" s="10">
        <v>24</v>
      </c>
      <c r="B330" s="98" t="s">
        <v>267</v>
      </c>
      <c r="C330" s="21" t="s">
        <v>355</v>
      </c>
      <c r="D330" s="98" t="s">
        <v>323</v>
      </c>
      <c r="E330" s="101">
        <v>3</v>
      </c>
      <c r="F330" s="130">
        <v>3542.41</v>
      </c>
      <c r="G330" s="130">
        <f t="shared" si="7"/>
        <v>10627.23</v>
      </c>
    </row>
    <row r="331" spans="1:7" ht="15" customHeight="1">
      <c r="A331" s="14"/>
      <c r="B331" s="165"/>
      <c r="C331" s="175"/>
      <c r="D331" s="165"/>
      <c r="E331" s="106"/>
      <c r="F331" s="138"/>
      <c r="G331" s="138"/>
    </row>
    <row r="332" spans="1:7" ht="15" customHeight="1">
      <c r="A332" s="706" t="s">
        <v>557</v>
      </c>
      <c r="B332" s="706"/>
      <c r="C332" s="706"/>
      <c r="D332" s="706"/>
      <c r="E332" s="706"/>
      <c r="F332" s="706"/>
      <c r="G332" s="166">
        <f>SUM(G315:G331)</f>
        <v>50453047.109999999</v>
      </c>
    </row>
    <row r="333" spans="1:7" ht="15" customHeight="1">
      <c r="A333" s="116"/>
      <c r="B333" s="116"/>
      <c r="C333" s="116"/>
      <c r="D333" s="116"/>
      <c r="E333" s="116"/>
      <c r="F333" s="116"/>
      <c r="G333" s="511"/>
    </row>
    <row r="334" spans="1:7" ht="15" customHeight="1">
      <c r="A334" s="116"/>
      <c r="B334" s="116"/>
      <c r="C334" s="116"/>
      <c r="D334" s="116"/>
      <c r="E334" s="116"/>
      <c r="F334" s="116"/>
      <c r="G334" s="511"/>
    </row>
    <row r="335" spans="1:7" ht="15" customHeight="1">
      <c r="A335" s="116"/>
      <c r="B335" s="116"/>
      <c r="C335" s="116"/>
      <c r="D335" s="116"/>
      <c r="E335" s="116"/>
      <c r="F335" s="116"/>
      <c r="G335" s="511"/>
    </row>
    <row r="336" spans="1:7" ht="15" customHeight="1">
      <c r="A336" s="116"/>
      <c r="B336" s="116"/>
      <c r="C336" s="116"/>
      <c r="D336" s="116"/>
      <c r="E336" s="116"/>
      <c r="F336" s="116"/>
      <c r="G336" s="511"/>
    </row>
    <row r="337" spans="1:7" ht="15" customHeight="1">
      <c r="A337" s="116"/>
      <c r="B337" s="116"/>
      <c r="C337" s="116"/>
      <c r="D337" s="116"/>
      <c r="E337" s="116"/>
      <c r="F337" s="116"/>
      <c r="G337" s="511"/>
    </row>
    <row r="338" spans="1:7" ht="15" customHeight="1">
      <c r="A338" s="116"/>
      <c r="B338" s="116"/>
      <c r="C338" s="116"/>
      <c r="D338" s="116"/>
      <c r="E338" s="116"/>
      <c r="F338" s="116"/>
      <c r="G338" s="511"/>
    </row>
    <row r="339" spans="1:7" ht="15" customHeight="1">
      <c r="A339" s="116"/>
      <c r="B339" s="116"/>
      <c r="C339" s="116"/>
      <c r="D339" s="116"/>
      <c r="E339" s="116"/>
      <c r="F339" s="116"/>
      <c r="G339" s="511"/>
    </row>
    <row r="340" spans="1:7" ht="15" customHeight="1">
      <c r="A340" s="116"/>
      <c r="B340" s="116"/>
      <c r="C340" s="116"/>
      <c r="D340" s="116"/>
      <c r="E340" s="116"/>
      <c r="F340" s="116"/>
      <c r="G340" s="511"/>
    </row>
    <row r="341" spans="1:7" ht="15" customHeight="1">
      <c r="A341" s="116"/>
      <c r="B341" s="116"/>
      <c r="C341" s="116"/>
      <c r="D341" s="116"/>
      <c r="E341" s="116"/>
      <c r="F341" s="116"/>
      <c r="G341" s="511"/>
    </row>
    <row r="342" spans="1:7" ht="15" customHeight="1">
      <c r="A342" s="116"/>
      <c r="B342" s="116"/>
      <c r="C342" s="116"/>
      <c r="D342" s="116"/>
      <c r="E342" s="116"/>
      <c r="F342" s="116"/>
      <c r="G342" s="511"/>
    </row>
    <row r="343" spans="1:7" ht="15" customHeight="1">
      <c r="A343" s="116"/>
      <c r="B343" s="116"/>
      <c r="C343" s="116"/>
      <c r="D343" s="116"/>
      <c r="E343" s="116"/>
      <c r="F343" s="116"/>
      <c r="G343" s="511"/>
    </row>
    <row r="344" spans="1:7" ht="15" customHeight="1">
      <c r="A344" s="116"/>
      <c r="B344" s="116"/>
      <c r="C344" s="116"/>
      <c r="D344" s="116"/>
      <c r="E344" s="116"/>
      <c r="F344" s="116"/>
      <c r="G344" s="511"/>
    </row>
    <row r="345" spans="1:7" ht="15" customHeight="1">
      <c r="A345" s="116"/>
      <c r="B345" s="116"/>
      <c r="C345" s="116"/>
      <c r="D345" s="116"/>
      <c r="E345" s="116"/>
      <c r="F345" s="116"/>
      <c r="G345" s="511"/>
    </row>
    <row r="346" spans="1:7" ht="15" customHeight="1">
      <c r="A346" s="116"/>
      <c r="B346" s="116"/>
      <c r="C346" s="116"/>
      <c r="D346" s="116"/>
      <c r="E346" s="116"/>
      <c r="F346" s="116"/>
      <c r="G346" s="511"/>
    </row>
    <row r="347" spans="1:7" ht="15" customHeight="1">
      <c r="A347" s="116"/>
      <c r="B347" s="116"/>
      <c r="C347" s="116"/>
      <c r="D347" s="116"/>
      <c r="E347" s="116"/>
      <c r="F347" s="116"/>
      <c r="G347" s="511"/>
    </row>
    <row r="348" spans="1:7" ht="15" customHeight="1">
      <c r="A348" s="116"/>
      <c r="B348" s="116"/>
      <c r="C348" s="116"/>
      <c r="D348" s="116"/>
      <c r="E348" s="116"/>
      <c r="F348" s="116"/>
      <c r="G348" s="511"/>
    </row>
    <row r="349" spans="1:7" ht="13.5">
      <c r="A349" s="116"/>
      <c r="B349" s="117"/>
      <c r="C349" s="118"/>
      <c r="D349" s="119"/>
      <c r="E349" s="119"/>
      <c r="F349" s="119"/>
      <c r="G349" s="120"/>
    </row>
    <row r="350" spans="1:7" s="1" customFormat="1" ht="23.25" customHeight="1">
      <c r="A350" s="121"/>
      <c r="B350" s="122"/>
      <c r="C350" s="122"/>
      <c r="D350" s="123"/>
      <c r="E350" s="123"/>
      <c r="F350" s="123"/>
      <c r="G350" s="121"/>
    </row>
    <row r="351" spans="1:7" ht="13.5">
      <c r="A351" s="124"/>
      <c r="B351" s="117"/>
      <c r="C351" s="118"/>
      <c r="D351" s="119"/>
      <c r="E351" s="119"/>
      <c r="F351" s="119"/>
      <c r="G351" s="120"/>
    </row>
    <row r="352" spans="1:7" ht="13.5">
      <c r="A352" s="116"/>
      <c r="B352" s="117"/>
      <c r="C352" s="118"/>
      <c r="D352" s="119"/>
      <c r="E352" s="119"/>
      <c r="F352" s="119"/>
      <c r="G352" s="120"/>
    </row>
    <row r="353" spans="1:7" ht="15" customHeight="1">
      <c r="A353" s="706" t="s">
        <v>558</v>
      </c>
      <c r="B353" s="706"/>
      <c r="C353" s="706"/>
      <c r="D353" s="706"/>
      <c r="E353" s="706"/>
      <c r="F353" s="706"/>
      <c r="G353" s="94">
        <f>G332</f>
        <v>50453047.109999999</v>
      </c>
    </row>
    <row r="354" spans="1:7" ht="15" customHeight="1">
      <c r="A354" s="10" t="s">
        <v>316</v>
      </c>
      <c r="B354" s="98"/>
      <c r="C354" s="178" t="s">
        <v>356</v>
      </c>
      <c r="D354" s="98"/>
      <c r="E354" s="9"/>
      <c r="F354" s="127"/>
      <c r="G354" s="127"/>
    </row>
    <row r="355" spans="1:7" s="181" customFormat="1" ht="15" customHeight="1">
      <c r="A355" s="176" t="s">
        <v>316</v>
      </c>
      <c r="B355" s="189"/>
      <c r="C355" s="190" t="s">
        <v>330</v>
      </c>
      <c r="D355" s="189"/>
      <c r="E355" s="187"/>
      <c r="F355" s="180"/>
      <c r="G355" s="180"/>
    </row>
    <row r="356" spans="1:7" ht="36">
      <c r="A356" s="98">
        <v>1</v>
      </c>
      <c r="B356" s="98" t="s">
        <v>275</v>
      </c>
      <c r="C356" s="21" t="s">
        <v>414</v>
      </c>
      <c r="D356" s="98" t="s">
        <v>323</v>
      </c>
      <c r="E356" s="101">
        <v>90</v>
      </c>
      <c r="F356" s="130">
        <v>30996.06</v>
      </c>
      <c r="G356" s="130">
        <f>E356*F356</f>
        <v>2789645.4</v>
      </c>
    </row>
    <row r="357" spans="1:7" ht="24">
      <c r="A357" s="10">
        <v>2</v>
      </c>
      <c r="B357" s="98" t="s">
        <v>335</v>
      </c>
      <c r="C357" s="21" t="s">
        <v>358</v>
      </c>
      <c r="D357" s="98" t="s">
        <v>323</v>
      </c>
      <c r="E357" s="101">
        <v>27</v>
      </c>
      <c r="F357" s="130">
        <v>24796.85</v>
      </c>
      <c r="G357" s="130">
        <f>E357*F357</f>
        <v>669514.94999999995</v>
      </c>
    </row>
    <row r="358" spans="1:7" s="181" customFormat="1" ht="15" customHeight="1">
      <c r="A358" s="176" t="s">
        <v>316</v>
      </c>
      <c r="B358" s="177"/>
      <c r="C358" s="178" t="s">
        <v>337</v>
      </c>
      <c r="D358" s="177"/>
      <c r="E358" s="179"/>
      <c r="F358" s="180"/>
      <c r="G358" s="180"/>
    </row>
    <row r="359" spans="1:7" ht="24">
      <c r="A359" s="10">
        <v>4</v>
      </c>
      <c r="B359" s="98" t="s">
        <v>361</v>
      </c>
      <c r="C359" s="21" t="s">
        <v>415</v>
      </c>
      <c r="D359" s="98" t="s">
        <v>320</v>
      </c>
      <c r="E359" s="101">
        <v>60</v>
      </c>
      <c r="F359" s="130">
        <v>2656.8</v>
      </c>
      <c r="G359" s="130">
        <f>E359*F359</f>
        <v>159408</v>
      </c>
    </row>
    <row r="360" spans="1:7" s="181" customFormat="1" ht="15" customHeight="1">
      <c r="A360" s="176"/>
      <c r="B360" s="177"/>
      <c r="C360" s="178" t="s">
        <v>341</v>
      </c>
      <c r="D360" s="177"/>
      <c r="E360" s="179"/>
      <c r="F360" s="180"/>
      <c r="G360" s="180"/>
    </row>
    <row r="361" spans="1:7" ht="24">
      <c r="A361" s="10">
        <v>5</v>
      </c>
      <c r="B361" s="98" t="s">
        <v>345</v>
      </c>
      <c r="C361" s="21" t="s">
        <v>416</v>
      </c>
      <c r="D361" s="98" t="s">
        <v>344</v>
      </c>
      <c r="E361" s="101">
        <v>0.4</v>
      </c>
      <c r="F361" s="130">
        <v>287820.53000000003</v>
      </c>
      <c r="G361" s="130">
        <f>E361*F361</f>
        <v>115128.21</v>
      </c>
    </row>
    <row r="362" spans="1:7" ht="24">
      <c r="A362" s="10">
        <v>6</v>
      </c>
      <c r="B362" s="98" t="s">
        <v>342</v>
      </c>
      <c r="C362" s="21" t="s">
        <v>417</v>
      </c>
      <c r="D362" s="98" t="s">
        <v>344</v>
      </c>
      <c r="E362" s="101">
        <v>3.5</v>
      </c>
      <c r="F362" s="130">
        <v>287820.53000000003</v>
      </c>
      <c r="G362" s="130">
        <f>E362*F362</f>
        <v>1007371.86</v>
      </c>
    </row>
    <row r="363" spans="1:7" s="181" customFormat="1" ht="15" customHeight="1">
      <c r="A363" s="176"/>
      <c r="B363" s="177"/>
      <c r="C363" s="178" t="s">
        <v>418</v>
      </c>
      <c r="D363" s="177"/>
      <c r="E363" s="179"/>
      <c r="F363" s="180"/>
      <c r="G363" s="180"/>
    </row>
    <row r="364" spans="1:7" ht="24">
      <c r="A364" s="10">
        <v>7</v>
      </c>
      <c r="B364" s="98" t="s">
        <v>419</v>
      </c>
      <c r="C364" s="21" t="s">
        <v>420</v>
      </c>
      <c r="D364" s="98" t="s">
        <v>370</v>
      </c>
      <c r="E364" s="101">
        <v>19</v>
      </c>
      <c r="F364" s="130">
        <v>309960.57</v>
      </c>
      <c r="G364" s="130">
        <f>E364*F364</f>
        <v>5889250.8300000001</v>
      </c>
    </row>
    <row r="365" spans="1:7" ht="24">
      <c r="A365" s="10">
        <v>8</v>
      </c>
      <c r="B365" s="98" t="s">
        <v>421</v>
      </c>
      <c r="C365" s="21" t="s">
        <v>422</v>
      </c>
      <c r="D365" s="98" t="s">
        <v>370</v>
      </c>
      <c r="E365" s="101">
        <v>19</v>
      </c>
      <c r="F365" s="130">
        <v>132840.24</v>
      </c>
      <c r="G365" s="130">
        <f>E365*F365</f>
        <v>2523964.56</v>
      </c>
    </row>
    <row r="366" spans="1:7" s="181" customFormat="1" ht="15" customHeight="1">
      <c r="A366" s="176" t="s">
        <v>316</v>
      </c>
      <c r="B366" s="177"/>
      <c r="C366" s="178" t="s">
        <v>365</v>
      </c>
      <c r="D366" s="177"/>
      <c r="E366" s="179"/>
      <c r="F366" s="180"/>
      <c r="G366" s="180"/>
    </row>
    <row r="367" spans="1:7" ht="42.75" customHeight="1">
      <c r="A367" s="10">
        <v>9</v>
      </c>
      <c r="B367" s="98" t="s">
        <v>366</v>
      </c>
      <c r="C367" s="191" t="s">
        <v>367</v>
      </c>
      <c r="D367" s="98" t="s">
        <v>351</v>
      </c>
      <c r="E367" s="101">
        <v>35</v>
      </c>
      <c r="F367" s="130">
        <v>22140.04</v>
      </c>
      <c r="G367" s="130">
        <f>E367*F367</f>
        <v>774901.4</v>
      </c>
    </row>
    <row r="368" spans="1:7" ht="24">
      <c r="A368" s="10">
        <v>10</v>
      </c>
      <c r="B368" s="98" t="s">
        <v>368</v>
      </c>
      <c r="C368" s="21" t="s">
        <v>369</v>
      </c>
      <c r="D368" s="98" t="s">
        <v>370</v>
      </c>
      <c r="E368" s="101">
        <v>4</v>
      </c>
      <c r="F368" s="130">
        <v>177120.33</v>
      </c>
      <c r="G368" s="130">
        <f>E368*F368</f>
        <v>708481.32</v>
      </c>
    </row>
    <row r="369" spans="1:7" s="181" customFormat="1" ht="15" customHeight="1">
      <c r="A369" s="176" t="s">
        <v>316</v>
      </c>
      <c r="B369" s="177"/>
      <c r="C369" s="178" t="s">
        <v>375</v>
      </c>
      <c r="D369" s="177"/>
      <c r="E369" s="179"/>
      <c r="F369" s="180"/>
      <c r="G369" s="180"/>
    </row>
    <row r="370" spans="1:7" ht="36">
      <c r="A370" s="10">
        <v>11</v>
      </c>
      <c r="B370" s="98" t="s">
        <v>376</v>
      </c>
      <c r="C370" s="21" t="s">
        <v>377</v>
      </c>
      <c r="D370" s="98" t="s">
        <v>351</v>
      </c>
      <c r="E370" s="101">
        <v>40</v>
      </c>
      <c r="F370" s="130">
        <v>3099.61</v>
      </c>
      <c r="G370" s="130">
        <f>E370*F370</f>
        <v>123984.4</v>
      </c>
    </row>
    <row r="371" spans="1:7" ht="24">
      <c r="A371" s="10">
        <v>12</v>
      </c>
      <c r="B371" s="98" t="s">
        <v>378</v>
      </c>
      <c r="C371" s="21" t="s">
        <v>379</v>
      </c>
      <c r="D371" s="98" t="s">
        <v>351</v>
      </c>
      <c r="E371" s="101">
        <v>20</v>
      </c>
      <c r="F371" s="130">
        <v>2656.8</v>
      </c>
      <c r="G371" s="130">
        <f>E371*F371</f>
        <v>53136</v>
      </c>
    </row>
    <row r="372" spans="1:7" ht="15" customHeight="1">
      <c r="A372" s="706" t="s">
        <v>557</v>
      </c>
      <c r="B372" s="706"/>
      <c r="C372" s="706"/>
      <c r="D372" s="706"/>
      <c r="E372" s="706"/>
      <c r="F372" s="706"/>
      <c r="G372" s="166">
        <f>SUM(G353:G371)</f>
        <v>65267834.039999999</v>
      </c>
    </row>
    <row r="373" spans="1:7" ht="15" customHeight="1">
      <c r="A373" s="116"/>
      <c r="B373" s="116"/>
      <c r="C373" s="116"/>
      <c r="D373" s="116"/>
      <c r="E373" s="116"/>
      <c r="F373" s="116"/>
      <c r="G373" s="511"/>
    </row>
    <row r="374" spans="1:7" ht="15" customHeight="1">
      <c r="A374" s="116"/>
      <c r="B374" s="116"/>
      <c r="C374" s="116"/>
      <c r="D374" s="116"/>
      <c r="E374" s="116"/>
      <c r="F374" s="116"/>
      <c r="G374" s="511"/>
    </row>
    <row r="375" spans="1:7" ht="15" customHeight="1">
      <c r="A375" s="116"/>
      <c r="B375" s="116"/>
      <c r="C375" s="116"/>
      <c r="D375" s="116"/>
      <c r="E375" s="116"/>
      <c r="F375" s="116"/>
      <c r="G375" s="511"/>
    </row>
    <row r="376" spans="1:7" ht="15" customHeight="1">
      <c r="A376" s="116"/>
      <c r="B376" s="116"/>
      <c r="C376" s="116"/>
      <c r="D376" s="116"/>
      <c r="E376" s="116"/>
      <c r="F376" s="116"/>
      <c r="G376" s="511"/>
    </row>
    <row r="377" spans="1:7" ht="15" customHeight="1">
      <c r="A377" s="116"/>
      <c r="B377" s="116"/>
      <c r="C377" s="116"/>
      <c r="D377" s="116"/>
      <c r="E377" s="116"/>
      <c r="F377" s="116"/>
      <c r="G377" s="511"/>
    </row>
    <row r="378" spans="1:7" ht="15" customHeight="1">
      <c r="A378" s="116"/>
      <c r="B378" s="116"/>
      <c r="C378" s="116"/>
      <c r="D378" s="116"/>
      <c r="E378" s="116"/>
      <c r="F378" s="116"/>
      <c r="G378" s="511"/>
    </row>
    <row r="379" spans="1:7" ht="15" customHeight="1">
      <c r="A379" s="116"/>
      <c r="B379" s="116"/>
      <c r="C379" s="116"/>
      <c r="D379" s="116"/>
      <c r="E379" s="116"/>
      <c r="F379" s="116"/>
      <c r="G379" s="511"/>
    </row>
    <row r="380" spans="1:7" ht="15" customHeight="1">
      <c r="A380" s="116"/>
      <c r="B380" s="116"/>
      <c r="C380" s="116"/>
      <c r="D380" s="116"/>
      <c r="E380" s="116"/>
      <c r="F380" s="116"/>
      <c r="G380" s="511"/>
    </row>
    <row r="381" spans="1:7" ht="15" customHeight="1">
      <c r="A381" s="116"/>
      <c r="B381" s="116"/>
      <c r="C381" s="116"/>
      <c r="D381" s="116"/>
      <c r="E381" s="116"/>
      <c r="F381" s="116"/>
      <c r="G381" s="511"/>
    </row>
    <row r="382" spans="1:7" ht="15" customHeight="1">
      <c r="A382" s="116"/>
      <c r="B382" s="116"/>
      <c r="C382" s="116"/>
      <c r="D382" s="116"/>
      <c r="E382" s="116"/>
      <c r="F382" s="116"/>
      <c r="G382" s="511"/>
    </row>
    <row r="383" spans="1:7" ht="15" customHeight="1">
      <c r="A383" s="116"/>
      <c r="B383" s="116"/>
      <c r="C383" s="116"/>
      <c r="D383" s="116"/>
      <c r="E383" s="116"/>
      <c r="F383" s="116"/>
      <c r="G383" s="511"/>
    </row>
    <row r="384" spans="1:7" ht="15" customHeight="1">
      <c r="A384" s="116"/>
      <c r="B384" s="116"/>
      <c r="C384" s="116"/>
      <c r="D384" s="116"/>
      <c r="E384" s="116"/>
      <c r="F384" s="116"/>
      <c r="G384" s="511"/>
    </row>
    <row r="385" spans="1:7" ht="15" customHeight="1">
      <c r="A385" s="116"/>
      <c r="B385" s="116"/>
      <c r="C385" s="116"/>
      <c r="D385" s="116"/>
      <c r="E385" s="116"/>
      <c r="F385" s="116"/>
      <c r="G385" s="511"/>
    </row>
    <row r="386" spans="1:7" ht="15" customHeight="1">
      <c r="A386" s="116"/>
      <c r="B386" s="116"/>
      <c r="C386" s="116"/>
      <c r="D386" s="116"/>
      <c r="E386" s="116"/>
      <c r="F386" s="116"/>
      <c r="G386" s="511"/>
    </row>
    <row r="387" spans="1:7" ht="15" customHeight="1">
      <c r="A387" s="116"/>
      <c r="B387" s="116"/>
      <c r="C387" s="116"/>
      <c r="D387" s="116"/>
      <c r="E387" s="116"/>
      <c r="F387" s="116"/>
      <c r="G387" s="511"/>
    </row>
    <row r="388" spans="1:7" ht="15" customHeight="1">
      <c r="A388" s="116"/>
      <c r="B388" s="116"/>
      <c r="C388" s="116"/>
      <c r="D388" s="116"/>
      <c r="E388" s="116"/>
      <c r="F388" s="116"/>
      <c r="G388" s="511"/>
    </row>
    <row r="389" spans="1:7" ht="13.5">
      <c r="A389" s="116"/>
      <c r="B389" s="117"/>
      <c r="C389" s="118"/>
      <c r="D389" s="119"/>
      <c r="E389" s="119"/>
      <c r="F389" s="119"/>
      <c r="G389" s="120"/>
    </row>
    <row r="390" spans="1:7" s="1" customFormat="1" ht="23.25" customHeight="1">
      <c r="A390" s="121"/>
      <c r="B390" s="122"/>
      <c r="C390" s="122"/>
      <c r="D390" s="123"/>
      <c r="E390" s="123"/>
      <c r="F390" s="123"/>
      <c r="G390" s="121"/>
    </row>
    <row r="391" spans="1:7" ht="13.5">
      <c r="A391" s="124"/>
      <c r="B391" s="117"/>
      <c r="C391" s="118"/>
      <c r="D391" s="119"/>
      <c r="E391" s="119"/>
      <c r="F391" s="119"/>
      <c r="G391" s="120"/>
    </row>
    <row r="392" spans="1:7" ht="13.5">
      <c r="A392" s="116"/>
      <c r="B392" s="117"/>
      <c r="C392" s="118"/>
      <c r="D392" s="119"/>
      <c r="E392" s="119"/>
      <c r="F392" s="119"/>
      <c r="G392" s="120"/>
    </row>
    <row r="393" spans="1:7" ht="15" customHeight="1">
      <c r="A393" s="706" t="s">
        <v>558</v>
      </c>
      <c r="B393" s="706"/>
      <c r="C393" s="706"/>
      <c r="D393" s="706"/>
      <c r="E393" s="706"/>
      <c r="F393" s="706"/>
      <c r="G393" s="94">
        <f>G372</f>
        <v>65267834.039999999</v>
      </c>
    </row>
    <row r="394" spans="1:7" ht="15" customHeight="1">
      <c r="A394" s="176" t="s">
        <v>316</v>
      </c>
      <c r="B394" s="177"/>
      <c r="C394" s="178" t="s">
        <v>423</v>
      </c>
      <c r="D394" s="177"/>
      <c r="E394" s="9"/>
      <c r="F394" s="127"/>
      <c r="G394" s="127"/>
    </row>
    <row r="395" spans="1:7" ht="21.75">
      <c r="A395" s="10">
        <v>13</v>
      </c>
      <c r="B395" s="98" t="s">
        <v>424</v>
      </c>
      <c r="C395" s="191" t="s">
        <v>425</v>
      </c>
      <c r="D395" s="98" t="s">
        <v>351</v>
      </c>
      <c r="E395" s="13">
        <v>20</v>
      </c>
      <c r="F395" s="130">
        <v>3542.41</v>
      </c>
      <c r="G395" s="130">
        <f>E395*F395</f>
        <v>70848.2</v>
      </c>
    </row>
    <row r="396" spans="1:7" s="181" customFormat="1" ht="15" customHeight="1">
      <c r="A396" s="177" t="s">
        <v>316</v>
      </c>
      <c r="B396" s="177"/>
      <c r="C396" s="178" t="s">
        <v>380</v>
      </c>
      <c r="D396" s="177"/>
      <c r="E396" s="179"/>
      <c r="F396" s="180"/>
      <c r="G396" s="180"/>
    </row>
    <row r="397" spans="1:7" ht="32.25">
      <c r="A397" s="10">
        <v>14</v>
      </c>
      <c r="B397" s="98" t="s">
        <v>381</v>
      </c>
      <c r="C397" s="191" t="s">
        <v>426</v>
      </c>
      <c r="D397" s="98" t="s">
        <v>351</v>
      </c>
      <c r="E397" s="101">
        <v>36</v>
      </c>
      <c r="F397" s="130">
        <v>3542.41</v>
      </c>
      <c r="G397" s="130">
        <f>E397*F397</f>
        <v>127526.76</v>
      </c>
    </row>
    <row r="398" spans="1:7" s="181" customFormat="1" ht="15" customHeight="1">
      <c r="A398" s="176" t="s">
        <v>316</v>
      </c>
      <c r="B398" s="177"/>
      <c r="C398" s="178" t="s">
        <v>383</v>
      </c>
      <c r="D398" s="177"/>
      <c r="E398" s="179"/>
      <c r="F398" s="180"/>
      <c r="G398" s="180"/>
    </row>
    <row r="399" spans="1:7" ht="21.75">
      <c r="A399" s="10">
        <v>15</v>
      </c>
      <c r="B399" s="98" t="s">
        <v>384</v>
      </c>
      <c r="C399" s="191" t="s">
        <v>427</v>
      </c>
      <c r="D399" s="98" t="s">
        <v>370</v>
      </c>
      <c r="E399" s="101">
        <v>22</v>
      </c>
      <c r="F399" s="130">
        <v>6642.01</v>
      </c>
      <c r="G399" s="130">
        <f t="shared" ref="G399:G408" si="8">E399*F399</f>
        <v>146124.22</v>
      </c>
    </row>
    <row r="400" spans="1:7" ht="32.25">
      <c r="A400" s="10">
        <v>16</v>
      </c>
      <c r="B400" s="98" t="s">
        <v>386</v>
      </c>
      <c r="C400" s="191" t="s">
        <v>428</v>
      </c>
      <c r="D400" s="98" t="s">
        <v>370</v>
      </c>
      <c r="E400" s="101">
        <v>20</v>
      </c>
      <c r="F400" s="130">
        <v>4428.01</v>
      </c>
      <c r="G400" s="130">
        <f t="shared" si="8"/>
        <v>88560.2</v>
      </c>
    </row>
    <row r="401" spans="1:7" ht="33.75" customHeight="1">
      <c r="A401" s="10">
        <v>17</v>
      </c>
      <c r="B401" s="98" t="s">
        <v>429</v>
      </c>
      <c r="C401" s="191" t="s">
        <v>436</v>
      </c>
      <c r="D401" s="98" t="s">
        <v>370</v>
      </c>
      <c r="E401" s="101">
        <v>42</v>
      </c>
      <c r="F401" s="130">
        <v>7084.81</v>
      </c>
      <c r="G401" s="130">
        <f t="shared" si="8"/>
        <v>297562.02</v>
      </c>
    </row>
    <row r="402" spans="1:7" ht="39" customHeight="1">
      <c r="A402" s="10">
        <v>18</v>
      </c>
      <c r="B402" s="98" t="s">
        <v>388</v>
      </c>
      <c r="C402" s="191" t="s">
        <v>389</v>
      </c>
      <c r="D402" s="98" t="s">
        <v>351</v>
      </c>
      <c r="E402" s="101">
        <v>22</v>
      </c>
      <c r="F402" s="130">
        <v>2656.8</v>
      </c>
      <c r="G402" s="130">
        <f t="shared" si="8"/>
        <v>58449.599999999999</v>
      </c>
    </row>
    <row r="403" spans="1:7" ht="21.75">
      <c r="A403" s="10">
        <v>19</v>
      </c>
      <c r="B403" s="98" t="s">
        <v>390</v>
      </c>
      <c r="C403" s="191" t="s">
        <v>430</v>
      </c>
      <c r="D403" s="98" t="s">
        <v>351</v>
      </c>
      <c r="E403" s="101">
        <v>70</v>
      </c>
      <c r="F403" s="130">
        <v>4428.01</v>
      </c>
      <c r="G403" s="130">
        <f t="shared" si="8"/>
        <v>309960.7</v>
      </c>
    </row>
    <row r="404" spans="1:7" ht="39" customHeight="1">
      <c r="A404" s="10">
        <v>20</v>
      </c>
      <c r="B404" s="98" t="s">
        <v>431</v>
      </c>
      <c r="C404" s="191" t="s">
        <v>393</v>
      </c>
      <c r="D404" s="98" t="s">
        <v>370</v>
      </c>
      <c r="E404" s="101">
        <v>35</v>
      </c>
      <c r="F404" s="130">
        <v>3099.61</v>
      </c>
      <c r="G404" s="130">
        <f t="shared" si="8"/>
        <v>108486.35</v>
      </c>
    </row>
    <row r="405" spans="1:7" ht="39" customHeight="1">
      <c r="A405" s="10">
        <v>21</v>
      </c>
      <c r="B405" s="98" t="s">
        <v>432</v>
      </c>
      <c r="C405" s="191" t="s">
        <v>433</v>
      </c>
      <c r="D405" s="98" t="s">
        <v>370</v>
      </c>
      <c r="E405" s="101">
        <v>35</v>
      </c>
      <c r="F405" s="130">
        <v>3542.41</v>
      </c>
      <c r="G405" s="130">
        <f t="shared" si="8"/>
        <v>123984.35</v>
      </c>
    </row>
    <row r="406" spans="1:7" ht="52.5" customHeight="1">
      <c r="A406" s="10">
        <v>22</v>
      </c>
      <c r="B406" s="98" t="s">
        <v>434</v>
      </c>
      <c r="C406" s="191" t="s">
        <v>435</v>
      </c>
      <c r="D406" s="98" t="s">
        <v>311</v>
      </c>
      <c r="E406" s="101">
        <v>20</v>
      </c>
      <c r="F406" s="130">
        <v>6642.01</v>
      </c>
      <c r="G406" s="130">
        <f t="shared" si="8"/>
        <v>132840.20000000001</v>
      </c>
    </row>
    <row r="407" spans="1:7" ht="21.75">
      <c r="A407" s="10">
        <v>23</v>
      </c>
      <c r="B407" s="98" t="s">
        <v>396</v>
      </c>
      <c r="C407" s="191" t="s">
        <v>397</v>
      </c>
      <c r="D407" s="98" t="s">
        <v>370</v>
      </c>
      <c r="E407" s="101">
        <v>12</v>
      </c>
      <c r="F407" s="130">
        <v>4428.01</v>
      </c>
      <c r="G407" s="130">
        <f t="shared" si="8"/>
        <v>53136.12</v>
      </c>
    </row>
    <row r="408" spans="1:7" ht="21.75">
      <c r="A408" s="10">
        <v>24</v>
      </c>
      <c r="B408" s="98" t="s">
        <v>398</v>
      </c>
      <c r="C408" s="191" t="s">
        <v>399</v>
      </c>
      <c r="D408" s="98" t="s">
        <v>370</v>
      </c>
      <c r="E408" s="101">
        <v>6</v>
      </c>
      <c r="F408" s="130">
        <v>3985.21</v>
      </c>
      <c r="G408" s="130">
        <f t="shared" si="8"/>
        <v>23911.26</v>
      </c>
    </row>
    <row r="409" spans="1:7" ht="15" customHeight="1">
      <c r="A409" s="708" t="s">
        <v>556</v>
      </c>
      <c r="B409" s="709"/>
      <c r="C409" s="709"/>
      <c r="D409" s="709"/>
      <c r="E409" s="709"/>
      <c r="F409" s="710"/>
      <c r="G409" s="166">
        <f>SUM(G393:G408)</f>
        <v>66809224.020000003</v>
      </c>
    </row>
    <row r="410" spans="1:7" ht="13.5">
      <c r="A410" s="116"/>
      <c r="B410" s="117"/>
      <c r="C410" s="118"/>
      <c r="D410" s="119"/>
      <c r="E410" s="119"/>
      <c r="F410" s="119"/>
      <c r="G410" s="120"/>
    </row>
    <row r="411" spans="1:7" s="1" customFormat="1" ht="23.25" customHeight="1">
      <c r="A411" s="121"/>
      <c r="B411" s="122"/>
      <c r="C411" s="122"/>
      <c r="D411" s="123"/>
      <c r="E411" s="123"/>
      <c r="F411" s="123"/>
      <c r="G411" s="121"/>
    </row>
    <row r="412" spans="1:7" ht="13.5">
      <c r="A412" s="124"/>
      <c r="B412" s="117"/>
      <c r="C412" s="118"/>
      <c r="D412" s="119"/>
      <c r="E412" s="119"/>
      <c r="F412" s="119"/>
      <c r="G412" s="120"/>
    </row>
    <row r="413" spans="1:7" ht="13.5">
      <c r="A413" s="116"/>
      <c r="B413" s="117"/>
      <c r="C413" s="118"/>
      <c r="D413" s="119"/>
      <c r="E413" s="119"/>
      <c r="F413" s="119"/>
      <c r="G413" s="120"/>
    </row>
  </sheetData>
  <mergeCells count="27">
    <mergeCell ref="A10:C10"/>
    <mergeCell ref="D10:G10"/>
    <mergeCell ref="A11:B11"/>
    <mergeCell ref="C11:C12"/>
    <mergeCell ref="D11:D12"/>
    <mergeCell ref="E11:E12"/>
    <mergeCell ref="F11:F12"/>
    <mergeCell ref="G11:G12"/>
    <mergeCell ref="A273:F273"/>
    <mergeCell ref="A48:F48"/>
    <mergeCell ref="A64:F64"/>
    <mergeCell ref="A99:F99"/>
    <mergeCell ref="A114:F114"/>
    <mergeCell ref="A134:F134"/>
    <mergeCell ref="A155:F155"/>
    <mergeCell ref="A173:F173"/>
    <mergeCell ref="A195:F195"/>
    <mergeCell ref="A214:F214"/>
    <mergeCell ref="A235:F235"/>
    <mergeCell ref="A256:F256"/>
    <mergeCell ref="A409:F409"/>
    <mergeCell ref="A294:F294"/>
    <mergeCell ref="A315:F315"/>
    <mergeCell ref="A332:F332"/>
    <mergeCell ref="A353:F353"/>
    <mergeCell ref="A372:F372"/>
    <mergeCell ref="A393:F393"/>
  </mergeCells>
  <pageMargins left="0.76" right="0.49" top="0.75" bottom="0.75" header="0.3" footer="0.3"/>
  <pageSetup paperSize="9" scale="80"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16</vt:i4>
      </vt:variant>
      <vt:variant>
        <vt:lpstr>Named Ranges</vt:lpstr>
      </vt:variant>
      <vt:variant>
        <vt:i4>25</vt:i4>
      </vt:variant>
    </vt:vector>
  </HeadingPairs>
  <TitlesOfParts>
    <vt:vector size="41" baseType="lpstr">
      <vt:lpstr>Application</vt:lpstr>
      <vt:lpstr>GS</vt:lpstr>
      <vt:lpstr>Mat @ Site (2)</vt:lpstr>
      <vt:lpstr>Bill 1</vt:lpstr>
      <vt:lpstr>Bill 2</vt:lpstr>
      <vt:lpstr>Bill 3</vt:lpstr>
      <vt:lpstr>Bill 4</vt:lpstr>
      <vt:lpstr>Bill 5</vt:lpstr>
      <vt:lpstr>Bill 6</vt:lpstr>
      <vt:lpstr>Bill 7</vt:lpstr>
      <vt:lpstr>Bill 8.1</vt:lpstr>
      <vt:lpstr>Bill 8.2</vt:lpstr>
      <vt:lpstr>Bill 8.3</vt:lpstr>
      <vt:lpstr>Bill 9</vt:lpstr>
      <vt:lpstr>PF</vt:lpstr>
      <vt:lpstr>Bill 6 (2)</vt:lpstr>
      <vt:lpstr>Application!Print_Area</vt:lpstr>
      <vt:lpstr>Bill 1!Print_Area</vt:lpstr>
      <vt:lpstr>Bill 2!Print_Area</vt:lpstr>
      <vt:lpstr>Bill 3!Print_Area</vt:lpstr>
      <vt:lpstr>Bill 4!Print_Area</vt:lpstr>
      <vt:lpstr>Bill 5!Print_Area</vt:lpstr>
      <vt:lpstr>Bill 6!Print_Area</vt:lpstr>
      <vt:lpstr>Bill 6 (2)!Print_Area</vt:lpstr>
      <vt:lpstr>Bill 7!Print_Area</vt:lpstr>
      <vt:lpstr>Bill 8.1!Print_Area</vt:lpstr>
      <vt:lpstr>Bill 8.2!Print_Area</vt:lpstr>
      <vt:lpstr>Bill 8.3!Print_Area</vt:lpstr>
      <vt:lpstr>Bill 9!Print_Area</vt:lpstr>
      <vt:lpstr>GS!Print_Area</vt:lpstr>
      <vt:lpstr>Mat @ Site (2)!Print_Area</vt:lpstr>
      <vt:lpstr>PF!Print_Area</vt:lpstr>
      <vt:lpstr>Bill 1!Print_Titles</vt:lpstr>
      <vt:lpstr>Bill 6!Print_Titles</vt:lpstr>
      <vt:lpstr>Bill 6 (2)!Print_Titles</vt:lpstr>
      <vt:lpstr>Bill 7!Print_Titles</vt:lpstr>
      <vt:lpstr>Bill 8.1!Print_Titles</vt:lpstr>
      <vt:lpstr>Bill 8.2!Print_Titles</vt:lpstr>
      <vt:lpstr>Bill 8.3!Print_Titles</vt:lpstr>
      <vt:lpstr>Bill 9!Print_Titles</vt:lpstr>
      <vt:lpstr>PF!Print_Titles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pc</cp:lastModifiedBy>
  <cp:lastPrinted>2024-03-20T16:33:46Z</cp:lastPrinted>
  <dcterms:created xsi:type="dcterms:W3CDTF">2022-11-11T07:30:59Z</dcterms:created>
  <dcterms:modified xsi:type="dcterms:W3CDTF">2024-09-30T08:21:21Z</dcterms:modified>
</cp:coreProperties>
</file>