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\SEC\"/>
    </mc:Choice>
  </mc:AlternateContent>
  <xr:revisionPtr revIDLastSave="0" documentId="13_ncr:1_{331258EE-7664-4FB8-887F-3A61F22E777D}" xr6:coauthVersionLast="47" xr6:coauthVersionMax="47" xr10:uidLastSave="{00000000-0000-0000-0000-000000000000}"/>
  <bookViews>
    <workbookView xWindow="-108" yWindow="-108" windowWidth="23256" windowHeight="12576" xr2:uid="{00E998CA-5654-4CD2-8E50-4C011B155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1" l="1"/>
  <c r="G111" i="1"/>
  <c r="G15" i="1"/>
  <c r="G29" i="1"/>
  <c r="G28" i="1"/>
  <c r="G14" i="1"/>
  <c r="G306" i="1"/>
  <c r="G307" i="1"/>
  <c r="G308" i="1"/>
  <c r="G309" i="1"/>
  <c r="G305" i="1"/>
  <c r="G316" i="1"/>
  <c r="G315" i="1"/>
  <c r="F297" i="1"/>
  <c r="G272" i="1"/>
  <c r="G273" i="1"/>
  <c r="G271" i="1"/>
  <c r="G265" i="1"/>
  <c r="G257" i="1"/>
  <c r="F248" i="1"/>
  <c r="G224" i="1"/>
  <c r="G225" i="1"/>
  <c r="G223" i="1"/>
  <c r="G217" i="1"/>
  <c r="F202" i="1"/>
  <c r="G178" i="1"/>
  <c r="G179" i="1"/>
  <c r="G177" i="1"/>
  <c r="G171" i="1"/>
  <c r="G144" i="1"/>
  <c r="G145" i="1"/>
  <c r="G146" i="1"/>
  <c r="G143" i="1"/>
  <c r="G137" i="1"/>
  <c r="G103" i="1"/>
  <c r="G102" i="1"/>
  <c r="G96" i="1"/>
  <c r="G65" i="1"/>
  <c r="G66" i="1"/>
  <c r="G67" i="1"/>
  <c r="G68" i="1"/>
  <c r="G64" i="1"/>
  <c r="G58" i="1"/>
  <c r="G27" i="1"/>
  <c r="G22" i="1"/>
  <c r="G23" i="1"/>
  <c r="G21" i="1"/>
  <c r="G16" i="1" l="1"/>
  <c r="G17" i="1" s="1"/>
  <c r="G18" i="1" s="1"/>
  <c r="G323" i="1"/>
  <c r="G318" i="1"/>
  <c r="G310" i="1"/>
  <c r="G278" i="1"/>
  <c r="G268" i="1"/>
  <c r="G260" i="1"/>
  <c r="G261" i="1" s="1"/>
  <c r="G262" i="1" s="1"/>
  <c r="G229" i="1"/>
  <c r="G220" i="1"/>
  <c r="G212" i="1"/>
  <c r="G183" i="1"/>
  <c r="G174" i="1"/>
  <c r="G166" i="1"/>
  <c r="G167" i="1" s="1"/>
  <c r="G168" i="1" s="1"/>
  <c r="G149" i="1"/>
  <c r="G140" i="1"/>
  <c r="G132" i="1"/>
  <c r="G133" i="1" s="1"/>
  <c r="G134" i="1" s="1"/>
  <c r="G108" i="1"/>
  <c r="G99" i="1"/>
  <c r="G91" i="1"/>
  <c r="G92" i="1" s="1"/>
  <c r="G93" i="1" s="1"/>
  <c r="G53" i="1"/>
  <c r="G70" i="1"/>
  <c r="G61" i="1"/>
  <c r="G24" i="1"/>
  <c r="G30" i="1" s="1"/>
  <c r="G33" i="1" s="1"/>
  <c r="G35" i="1" l="1"/>
  <c r="G37" i="1" s="1"/>
  <c r="G72" i="1"/>
  <c r="G74" i="1" s="1"/>
  <c r="G76" i="1" s="1"/>
  <c r="G231" i="1"/>
  <c r="G233" i="1" s="1"/>
  <c r="G235" i="1" s="1"/>
  <c r="G185" i="1"/>
  <c r="G187" i="1" s="1"/>
  <c r="G189" i="1" s="1"/>
  <c r="G280" i="1"/>
  <c r="G282" i="1" s="1"/>
  <c r="G284" i="1" s="1"/>
  <c r="G151" i="1"/>
  <c r="G153" i="1" s="1"/>
  <c r="G155" i="1" s="1"/>
  <c r="G113" i="1"/>
  <c r="G115" i="1" s="1"/>
  <c r="G117" i="1" s="1"/>
  <c r="G311" i="1"/>
  <c r="G312" i="1" s="1"/>
  <c r="G325" i="1" s="1"/>
  <c r="G327" i="1" s="1"/>
  <c r="G329" i="1" s="1"/>
  <c r="G54" i="1"/>
  <c r="G55" i="1" s="1"/>
  <c r="G213" i="1"/>
  <c r="G214" i="1" s="1"/>
  <c r="G39" i="1" l="1"/>
  <c r="G41" i="1" s="1"/>
</calcChain>
</file>

<file path=xl/sharedStrings.xml><?xml version="1.0" encoding="utf-8"?>
<sst xmlns="http://schemas.openxmlformats.org/spreadsheetml/2006/main" count="328" uniqueCount="100">
  <si>
    <t>No:</t>
  </si>
  <si>
    <t>Descriotion</t>
  </si>
  <si>
    <t>Qty</t>
  </si>
  <si>
    <t>Unit</t>
  </si>
  <si>
    <t>Unit rate (RS)</t>
  </si>
  <si>
    <t>Amount (Rs)</t>
  </si>
  <si>
    <t>A</t>
  </si>
  <si>
    <t>Materials</t>
  </si>
  <si>
    <t>Total material cost</t>
  </si>
  <si>
    <t>B</t>
  </si>
  <si>
    <t>Labour</t>
  </si>
  <si>
    <t>Total labour cost</t>
  </si>
  <si>
    <t>C</t>
  </si>
  <si>
    <t>Tools and equipments</t>
  </si>
  <si>
    <t>Total tools and equipment cost</t>
  </si>
  <si>
    <t>D</t>
  </si>
  <si>
    <t>Total net unit rate</t>
  </si>
  <si>
    <t>E</t>
  </si>
  <si>
    <t>F</t>
  </si>
  <si>
    <t>Total gross unit rate</t>
  </si>
  <si>
    <t>(Unit of measurement - m3)</t>
  </si>
  <si>
    <t>Rate per 1m3</t>
  </si>
  <si>
    <t>Unskilled Labour</t>
  </si>
  <si>
    <t>L.Day</t>
  </si>
  <si>
    <t>Mammoty</t>
  </si>
  <si>
    <t>Other tools (Digging bar, Pickaxe, Shovel)</t>
  </si>
  <si>
    <t>Day</t>
  </si>
  <si>
    <t>Item</t>
  </si>
  <si>
    <t>Loads</t>
  </si>
  <si>
    <t>Transport</t>
  </si>
  <si>
    <t>Subtotal</t>
  </si>
  <si>
    <t>Add Wastage 5%</t>
  </si>
  <si>
    <t>Add OH &amp; Profit  10%</t>
  </si>
  <si>
    <t>Working 1</t>
  </si>
  <si>
    <t>Cost of a Shovel</t>
  </si>
  <si>
    <t>Total Cost</t>
  </si>
  <si>
    <t>No of useful days before diaposal</t>
  </si>
  <si>
    <t>Rs</t>
  </si>
  <si>
    <t>Days</t>
  </si>
  <si>
    <t>Cost per day</t>
  </si>
  <si>
    <t>Imported filling top soil refilling over 50mm thick but not exceeding 500mm deep level and to fall with 150mm finished thickness</t>
  </si>
  <si>
    <t>Other tools (Head Pan, Shovel)</t>
  </si>
  <si>
    <t>Filling obtained from excavated material, final thickness of filling not exceeding 500mm with finish thickness of 300mm, with layers of 125mm average depth, backfilling to foundation.</t>
  </si>
  <si>
    <t>Plate Compactor</t>
  </si>
  <si>
    <t>Imported soil</t>
  </si>
  <si>
    <t>cube</t>
  </si>
  <si>
    <t>Cement</t>
  </si>
  <si>
    <t>Sand</t>
  </si>
  <si>
    <t>kg</t>
  </si>
  <si>
    <t>Water</t>
  </si>
  <si>
    <t>Damp Proof Membrane over 500mm wide horizontal 1200 gauge visqueen polythene with 150mm laps on blinded hardcore per 1m2</t>
  </si>
  <si>
    <t>Mason</t>
  </si>
  <si>
    <t>Cost</t>
  </si>
  <si>
    <t>1200 gauge visqueen polythene</t>
  </si>
  <si>
    <t>Size</t>
  </si>
  <si>
    <t xml:space="preserve">G 1200 Polythene </t>
  </si>
  <si>
    <t>Cost of a head pan</t>
  </si>
  <si>
    <t>Cost of a Head Pan</t>
  </si>
  <si>
    <t xml:space="preserve">Cement 50kg bag </t>
  </si>
  <si>
    <t xml:space="preserve">Rs </t>
  </si>
  <si>
    <t>Unit price 1kg</t>
  </si>
  <si>
    <t>3000/50</t>
  </si>
  <si>
    <t>4meter x 25 meter</t>
  </si>
  <si>
    <t>Price</t>
  </si>
  <si>
    <t>100sq/m</t>
  </si>
  <si>
    <t>Ltr</t>
  </si>
  <si>
    <t>sqm</t>
  </si>
  <si>
    <t>Pricing of External Works</t>
  </si>
  <si>
    <t>2A/05</t>
  </si>
  <si>
    <t>Filling with 150mm thk compacted base course(ABC layer) on existing ground to receive sandy loam filling (95% proctor compaction should be achieved)</t>
  </si>
  <si>
    <t>2A/06</t>
  </si>
  <si>
    <t>Stander procter test including one number sand cone test for aove item (Approx. 15).</t>
  </si>
  <si>
    <t>2A/09</t>
  </si>
  <si>
    <t>2A/11</t>
  </si>
  <si>
    <t>100mm thick imported red soil level and compacted for prepared for earth surfaces.</t>
  </si>
  <si>
    <t xml:space="preserve">Concerete Drain                                                                                                      Concrete cover drain, size 600*600mmstarting depth (Internally) consisting of 50mm thick screed (grade 10), 100mm thick reinforced concrete base </t>
  </si>
  <si>
    <t>2A/13</t>
  </si>
  <si>
    <t xml:space="preserve">Landscaping works                                                                                                                                                                                                                                         </t>
  </si>
  <si>
    <t>ABC Metal</t>
  </si>
  <si>
    <t>Cube</t>
  </si>
  <si>
    <t xml:space="preserve">Total gross unit rate </t>
  </si>
  <si>
    <t>Total net unit rate per 1m3</t>
  </si>
  <si>
    <t>G</t>
  </si>
  <si>
    <t>Skilled Labour</t>
  </si>
  <si>
    <t>Motor Grader (65HP)</t>
  </si>
  <si>
    <t xml:space="preserve">Roller Chargers </t>
  </si>
  <si>
    <t>Hire of water bowser (6000l)</t>
  </si>
  <si>
    <t>Other tools (allow 2.5 precent from labour chargers)</t>
  </si>
  <si>
    <t>Total rate for 100 cubes</t>
  </si>
  <si>
    <t>Add OH &amp; Profit  27%</t>
  </si>
  <si>
    <t>Transport Cost (Wet)</t>
  </si>
  <si>
    <t>*1cube = 0.353 m3</t>
  </si>
  <si>
    <t>*Related to Kundasale Price Quatation</t>
  </si>
  <si>
    <t>Rainforce(10mm dia bars c/c 200mm both ways)</t>
  </si>
  <si>
    <t>Skilled labours</t>
  </si>
  <si>
    <t>Excavation</t>
  </si>
  <si>
    <t>*BSR 2021 D007</t>
  </si>
  <si>
    <t xml:space="preserve">Backfilling </t>
  </si>
  <si>
    <t>Ready Mix Concrete (G25)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</si>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</sst>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6" xfId="0" applyFont="1" applyBorder="1"/>
    <xf numFmtId="0" fontId="1" fillId="3" borderId="3" xfId="0" applyFont="1" applyFill="1" applyBorder="1"/>
    <xf numFmtId="0" fontId="1" fillId="3" borderId="8" xfId="0" applyFont="1" applyFill="1" applyBorder="1"/>
    <xf numFmtId="0" fontId="1" fillId="0" borderId="3" xfId="0" applyFont="1" applyBorder="1"/>
    <xf numFmtId="0" fontId="1" fillId="0" borderId="8" xfId="0" applyFont="1" applyBorder="1"/>
    <xf numFmtId="0" fontId="1" fillId="4" borderId="3" xfId="0" applyFont="1" applyFill="1" applyBorder="1"/>
    <xf numFmtId="0" fontId="1" fillId="4" borderId="8" xfId="0" applyFont="1" applyFill="1" applyBorder="1"/>
    <xf numFmtId="0" fontId="1" fillId="5" borderId="3" xfId="0" applyFont="1" applyFill="1" applyBorder="1"/>
    <xf numFmtId="0" fontId="1" fillId="5" borderId="8" xfId="0" applyFont="1" applyFill="1" applyBorder="1"/>
    <xf numFmtId="0" fontId="1" fillId="6" borderId="3" xfId="0" applyFont="1" applyFill="1" applyBorder="1"/>
    <xf numFmtId="0" fontId="1" fillId="6" borderId="8" xfId="0" applyFont="1" applyFill="1" applyBorder="1"/>
    <xf numFmtId="0" fontId="1" fillId="7" borderId="3" xfId="0" applyFont="1" applyFill="1" applyBorder="1"/>
    <xf numFmtId="0" fontId="1" fillId="7" borderId="8" xfId="0" applyFont="1" applyFill="1" applyBorder="1"/>
    <xf numFmtId="0" fontId="1" fillId="0" borderId="4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1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4" borderId="7" xfId="0" applyNumberFormat="1" applyFont="1" applyFill="1" applyBorder="1" applyAlignment="1">
      <alignment horizontal="center"/>
    </xf>
    <xf numFmtId="2" fontId="1" fillId="5" borderId="7" xfId="0" applyNumberFormat="1" applyFont="1" applyFill="1" applyBorder="1" applyAlignment="1">
      <alignment horizontal="center"/>
    </xf>
    <xf numFmtId="2" fontId="1" fillId="6" borderId="7" xfId="0" applyNumberFormat="1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wrapText="1"/>
    </xf>
    <xf numFmtId="0" fontId="3" fillId="0" borderId="3" xfId="0" applyFont="1" applyBorder="1"/>
    <xf numFmtId="0" fontId="4" fillId="0" borderId="0" xfId="0" applyFont="1" applyAlignment="1">
      <alignment horizontal="center"/>
    </xf>
    <xf numFmtId="3" fontId="1" fillId="0" borderId="0" xfId="0" applyNumberFormat="1" applyFont="1"/>
    <xf numFmtId="164" fontId="1" fillId="7" borderId="8" xfId="0" applyNumberFormat="1" applyFont="1" applyFill="1" applyBorder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/>
    <xf numFmtId="43" fontId="1" fillId="0" borderId="0" xfId="1" applyFont="1"/>
    <xf numFmtId="43" fontId="2" fillId="0" borderId="0" xfId="1" applyFont="1" applyAlignment="1">
      <alignment horizontal="left"/>
    </xf>
    <xf numFmtId="43" fontId="1" fillId="0" borderId="0" xfId="1" applyFont="1" applyAlignment="1">
      <alignment horizontal="left"/>
    </xf>
    <xf numFmtId="43" fontId="1" fillId="2" borderId="1" xfId="1" applyFont="1" applyFill="1" applyBorder="1" applyAlignment="1">
      <alignment horizontal="center" vertical="center" wrapText="1"/>
    </xf>
    <xf numFmtId="43" fontId="1" fillId="0" borderId="2" xfId="1" applyFont="1" applyBorder="1"/>
    <xf numFmtId="43" fontId="1" fillId="3" borderId="3" xfId="1" applyFont="1" applyFill="1" applyBorder="1"/>
    <xf numFmtId="43" fontId="1" fillId="0" borderId="3" xfId="1" applyFont="1" applyBorder="1"/>
    <xf numFmtId="43" fontId="1" fillId="4" borderId="3" xfId="1" applyFont="1" applyFill="1" applyBorder="1"/>
    <xf numFmtId="43" fontId="1" fillId="5" borderId="3" xfId="1" applyFont="1" applyFill="1" applyBorder="1"/>
    <xf numFmtId="43" fontId="1" fillId="6" borderId="3" xfId="1" applyFont="1" applyFill="1" applyBorder="1"/>
    <xf numFmtId="43" fontId="1" fillId="7" borderId="3" xfId="1" applyFont="1" applyFill="1" applyBorder="1"/>
    <xf numFmtId="43" fontId="1" fillId="0" borderId="4" xfId="1" applyFont="1" applyBorder="1"/>
    <xf numFmtId="43" fontId="0" fillId="0" borderId="0" xfId="1" applyFont="1"/>
    <xf numFmtId="43" fontId="2" fillId="0" borderId="0" xfId="1" applyFont="1" applyAlignment="1"/>
    <xf numFmtId="43" fontId="1" fillId="0" borderId="0" xfId="1" applyFont="1" applyAlignment="1">
      <alignment horizontal="right"/>
    </xf>
    <xf numFmtId="43" fontId="1" fillId="0" borderId="8" xfId="0" applyNumberFormat="1" applyFont="1" applyBorder="1"/>
    <xf numFmtId="0" fontId="7" fillId="0" borderId="0" xfId="0" applyFont="1"/>
    <xf numFmtId="2" fontId="1" fillId="7" borderId="8" xfId="0" applyNumberFormat="1" applyFont="1" applyFill="1" applyBorder="1"/>
    <xf numFmtId="2" fontId="1" fillId="0" borderId="8" xfId="0" applyNumberFormat="1" applyFont="1" applyBorder="1"/>
    <xf numFmtId="0" fontId="8" fillId="0" borderId="0" xfId="0" applyFont="1"/>
    <xf numFmtId="0" fontId="1" fillId="0" borderId="3" xfId="0" applyFont="1" applyFill="1" applyBorder="1" applyAlignment="1">
      <alignment horizontal="left" wrapText="1"/>
    </xf>
    <xf numFmtId="0" fontId="1" fillId="0" borderId="0" xfId="0" applyFont="1" applyBorder="1"/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3" fontId="1" fillId="0" borderId="0" xfId="1" applyFont="1" applyBorder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1680-1B88-4326-AED1-0028A5544330}">
  <dimension ref="A1:I343"/>
  <sheetViews>
    <sheetView tabSelected="1" zoomScaleNormal="100" workbookViewId="0">
      <selection activeCell="G88" sqref="G88"/>
    </sheetView>
  </sheetViews>
  <sheetFormatPr defaultRowHeight="14.4" x14ac:dyDescent="0.3"/>
  <cols>
    <col min="1" max="1" width="7.5546875" customWidth="1"/>
    <col min="3" max="3" width="28.6640625" customWidth="1"/>
    <col min="4" max="4" width="11.109375" style="28" customWidth="1"/>
    <col min="5" max="5" width="7.6640625" style="22" customWidth="1"/>
    <col min="6" max="6" width="11.21875" style="73" customWidth="1"/>
    <col min="7" max="7" width="14.21875" customWidth="1"/>
    <col min="8" max="8" width="35.33203125" customWidth="1"/>
  </cols>
  <sheetData>
    <row r="1" spans="1:9" ht="15.6" x14ac:dyDescent="0.3">
      <c r="A1" s="2"/>
      <c r="B1" s="2"/>
      <c r="C1" s="2"/>
      <c r="D1" s="39"/>
      <c r="E1" s="21"/>
      <c r="F1" s="61"/>
      <c r="G1" s="2"/>
      <c r="H1" s="2"/>
    </row>
    <row r="2" spans="1:9" ht="15.6" x14ac:dyDescent="0.3">
      <c r="A2" s="2"/>
      <c r="B2" s="58" t="s">
        <v>67</v>
      </c>
      <c r="C2" s="58"/>
      <c r="D2" s="58"/>
      <c r="E2" s="58"/>
      <c r="F2" s="58"/>
      <c r="G2" s="58"/>
      <c r="H2" s="2"/>
    </row>
    <row r="3" spans="1:9" ht="15.6" x14ac:dyDescent="0.3">
      <c r="A3" s="2"/>
      <c r="B3" s="58" t="s">
        <v>20</v>
      </c>
      <c r="C3" s="58"/>
      <c r="D3" s="58"/>
      <c r="E3" s="58"/>
      <c r="F3" s="58"/>
      <c r="G3" s="58"/>
      <c r="H3" s="2"/>
    </row>
    <row r="4" spans="1:9" ht="15.6" x14ac:dyDescent="0.3">
      <c r="A4" s="2"/>
      <c r="B4" s="29"/>
      <c r="C4" s="29"/>
      <c r="D4" s="40"/>
      <c r="E4" s="31"/>
      <c r="F4" s="62"/>
      <c r="G4" s="29"/>
      <c r="H4" s="2"/>
    </row>
    <row r="5" spans="1:9" ht="15.6" x14ac:dyDescent="0.3">
      <c r="A5" s="2"/>
      <c r="B5" s="58" t="s">
        <v>21</v>
      </c>
      <c r="C5" s="58"/>
      <c r="D5" s="58"/>
      <c r="E5" s="58"/>
      <c r="F5" s="58"/>
      <c r="G5" s="58"/>
      <c r="H5" s="2"/>
    </row>
    <row r="6" spans="1:9" ht="15.6" x14ac:dyDescent="0.3">
      <c r="A6" s="2"/>
      <c r="B6" s="3"/>
      <c r="C6" s="3"/>
      <c r="D6" s="39"/>
      <c r="E6" s="21"/>
      <c r="F6" s="63"/>
      <c r="G6" s="3"/>
      <c r="H6" s="2"/>
    </row>
    <row r="7" spans="1:9" ht="15.6" x14ac:dyDescent="0.3">
      <c r="A7" s="27" t="s">
        <v>68</v>
      </c>
      <c r="B7" s="59" t="s">
        <v>69</v>
      </c>
      <c r="C7" s="59"/>
      <c r="D7" s="59"/>
      <c r="E7" s="59"/>
      <c r="F7" s="59"/>
      <c r="G7" s="59"/>
      <c r="H7" s="2"/>
    </row>
    <row r="8" spans="1:9" ht="14.4" customHeight="1" x14ac:dyDescent="0.3">
      <c r="B8" s="59"/>
      <c r="C8" s="59"/>
      <c r="D8" s="59"/>
      <c r="E8" s="59"/>
      <c r="F8" s="59"/>
      <c r="G8" s="59"/>
    </row>
    <row r="9" spans="1:9" ht="15.6" x14ac:dyDescent="0.3">
      <c r="A9" s="2"/>
      <c r="B9" s="3"/>
      <c r="C9" s="3"/>
      <c r="D9" s="39"/>
      <c r="E9" s="21"/>
      <c r="F9" s="63"/>
      <c r="G9" s="3"/>
      <c r="H9" s="2"/>
    </row>
    <row r="10" spans="1:9" ht="31.2" x14ac:dyDescent="0.3">
      <c r="A10" s="2"/>
      <c r="B10" s="4" t="s">
        <v>0</v>
      </c>
      <c r="C10" s="4" t="s">
        <v>1</v>
      </c>
      <c r="D10" s="26" t="s">
        <v>2</v>
      </c>
      <c r="E10" s="4" t="s">
        <v>3</v>
      </c>
      <c r="F10" s="64" t="s">
        <v>4</v>
      </c>
      <c r="G10" s="4" t="s">
        <v>5</v>
      </c>
      <c r="H10" s="2"/>
    </row>
    <row r="11" spans="1:9" ht="15.6" x14ac:dyDescent="0.3">
      <c r="A11" s="2"/>
      <c r="B11" s="5"/>
      <c r="C11" s="5"/>
      <c r="D11" s="41"/>
      <c r="E11" s="32"/>
      <c r="F11" s="65"/>
      <c r="G11" s="6"/>
      <c r="H11" s="2"/>
      <c r="I11" s="1"/>
    </row>
    <row r="12" spans="1:9" ht="15.6" x14ac:dyDescent="0.3">
      <c r="A12" s="2"/>
      <c r="B12" s="7" t="s">
        <v>6</v>
      </c>
      <c r="C12" s="7" t="s">
        <v>7</v>
      </c>
      <c r="D12" s="42"/>
      <c r="E12" s="33"/>
      <c r="F12" s="66"/>
      <c r="G12" s="8"/>
      <c r="H12" s="2"/>
    </row>
    <row r="13" spans="1:9" ht="15.6" x14ac:dyDescent="0.3">
      <c r="A13" s="2"/>
      <c r="B13" s="9"/>
      <c r="C13" s="9"/>
      <c r="D13" s="43"/>
      <c r="E13" s="24"/>
      <c r="F13" s="67"/>
      <c r="G13" s="10"/>
      <c r="H13" s="2"/>
    </row>
    <row r="14" spans="1:9" ht="15.6" x14ac:dyDescent="0.3">
      <c r="A14" s="2"/>
      <c r="B14" s="9"/>
      <c r="C14" s="9" t="s">
        <v>78</v>
      </c>
      <c r="D14" s="43">
        <v>100</v>
      </c>
      <c r="E14" s="24" t="s">
        <v>79</v>
      </c>
      <c r="F14" s="67">
        <v>12000</v>
      </c>
      <c r="G14" s="76">
        <f>D14*F14</f>
        <v>1200000</v>
      </c>
      <c r="H14" s="80" t="s">
        <v>92</v>
      </c>
    </row>
    <row r="15" spans="1:9" ht="15.6" x14ac:dyDescent="0.3">
      <c r="A15" s="2"/>
      <c r="B15" s="9"/>
      <c r="C15" s="9" t="s">
        <v>90</v>
      </c>
      <c r="D15" s="43">
        <v>100</v>
      </c>
      <c r="E15" s="24" t="s">
        <v>79</v>
      </c>
      <c r="F15" s="67">
        <v>3500</v>
      </c>
      <c r="G15" s="76">
        <f>D15*F15</f>
        <v>350000</v>
      </c>
      <c r="H15" s="2"/>
    </row>
    <row r="16" spans="1:9" ht="15.6" x14ac:dyDescent="0.3">
      <c r="A16" s="2"/>
      <c r="B16" s="9"/>
      <c r="C16" s="9" t="s">
        <v>30</v>
      </c>
      <c r="D16" s="43"/>
      <c r="E16" s="24"/>
      <c r="F16" s="67"/>
      <c r="G16" s="10">
        <f>SUM(G13:G15)</f>
        <v>1550000</v>
      </c>
      <c r="H16" s="2"/>
    </row>
    <row r="17" spans="1:8" ht="15.6" x14ac:dyDescent="0.3">
      <c r="A17" s="2"/>
      <c r="B17" s="9"/>
      <c r="C17" s="9" t="s">
        <v>31</v>
      </c>
      <c r="D17" s="43"/>
      <c r="E17" s="24"/>
      <c r="F17" s="67"/>
      <c r="G17" s="10">
        <f>G16/20</f>
        <v>77500</v>
      </c>
      <c r="H17" s="2"/>
    </row>
    <row r="18" spans="1:8" ht="16.2" thickBot="1" x14ac:dyDescent="0.35">
      <c r="A18" s="2"/>
      <c r="B18" s="9"/>
      <c r="C18" s="9" t="s">
        <v>8</v>
      </c>
      <c r="D18" s="43"/>
      <c r="E18" s="24"/>
      <c r="F18" s="67"/>
      <c r="G18" s="23">
        <f>SUM(G16:G17)</f>
        <v>1627500</v>
      </c>
      <c r="H18" s="2"/>
    </row>
    <row r="19" spans="1:8" ht="16.2" thickTop="1" x14ac:dyDescent="0.3">
      <c r="A19" s="2"/>
      <c r="B19" s="9"/>
      <c r="C19" s="9"/>
      <c r="D19" s="43"/>
      <c r="E19" s="24"/>
      <c r="F19" s="67"/>
      <c r="G19" s="10"/>
      <c r="H19" s="2"/>
    </row>
    <row r="20" spans="1:8" ht="15.6" x14ac:dyDescent="0.3">
      <c r="A20" s="2"/>
      <c r="B20" s="11" t="s">
        <v>9</v>
      </c>
      <c r="C20" s="11" t="s">
        <v>10</v>
      </c>
      <c r="D20" s="44"/>
      <c r="E20" s="34"/>
      <c r="F20" s="68"/>
      <c r="G20" s="12"/>
      <c r="H20" s="2"/>
    </row>
    <row r="21" spans="1:8" ht="15.6" x14ac:dyDescent="0.3">
      <c r="A21" s="2"/>
      <c r="B21" s="9"/>
      <c r="C21" s="77" t="s">
        <v>22</v>
      </c>
      <c r="D21" s="43">
        <v>1</v>
      </c>
      <c r="E21" s="24" t="s">
        <v>23</v>
      </c>
      <c r="F21" s="67">
        <v>1500</v>
      </c>
      <c r="G21" s="10">
        <f>D21*F21</f>
        <v>1500</v>
      </c>
      <c r="H21" s="2"/>
    </row>
    <row r="22" spans="1:8" ht="15.6" x14ac:dyDescent="0.3">
      <c r="A22" s="2"/>
      <c r="B22" s="9"/>
      <c r="C22" s="9" t="s">
        <v>83</v>
      </c>
      <c r="D22" s="43">
        <v>2</v>
      </c>
      <c r="E22" s="24" t="s">
        <v>23</v>
      </c>
      <c r="F22" s="67">
        <v>2000</v>
      </c>
      <c r="G22" s="10">
        <f t="shared" ref="G22:G23" si="0">D22*F22</f>
        <v>4000</v>
      </c>
      <c r="H22" s="2"/>
    </row>
    <row r="23" spans="1:8" ht="15.6" x14ac:dyDescent="0.3">
      <c r="A23" s="2"/>
      <c r="B23" s="9"/>
      <c r="C23" s="9"/>
      <c r="D23" s="43"/>
      <c r="E23" s="24"/>
      <c r="F23" s="67"/>
      <c r="G23" s="10">
        <f t="shared" si="0"/>
        <v>0</v>
      </c>
      <c r="H23" s="2"/>
    </row>
    <row r="24" spans="1:8" ht="16.2" thickBot="1" x14ac:dyDescent="0.35">
      <c r="A24" s="2"/>
      <c r="B24" s="9"/>
      <c r="C24" s="9" t="s">
        <v>11</v>
      </c>
      <c r="D24" s="43"/>
      <c r="E24" s="24"/>
      <c r="F24" s="67"/>
      <c r="G24" s="23">
        <f>SUM(G21:G23)</f>
        <v>5500</v>
      </c>
      <c r="H24" s="2"/>
    </row>
    <row r="25" spans="1:8" ht="16.2" thickTop="1" x14ac:dyDescent="0.3">
      <c r="A25" s="2"/>
      <c r="B25" s="9"/>
      <c r="C25" s="9"/>
      <c r="D25" s="43"/>
      <c r="E25" s="24"/>
      <c r="F25" s="67"/>
      <c r="G25" s="10"/>
      <c r="H25" s="2"/>
    </row>
    <row r="26" spans="1:8" ht="15.6" x14ac:dyDescent="0.3">
      <c r="A26" s="2"/>
      <c r="B26" s="13" t="s">
        <v>12</v>
      </c>
      <c r="C26" s="13" t="s">
        <v>13</v>
      </c>
      <c r="D26" s="45"/>
      <c r="E26" s="35"/>
      <c r="F26" s="69"/>
      <c r="G26" s="14"/>
      <c r="H26" s="2"/>
    </row>
    <row r="27" spans="1:8" ht="15.6" x14ac:dyDescent="0.3">
      <c r="A27" s="2"/>
      <c r="B27" s="9"/>
      <c r="C27" s="9" t="s">
        <v>84</v>
      </c>
      <c r="D27" s="43">
        <v>1</v>
      </c>
      <c r="E27" s="24" t="s">
        <v>26</v>
      </c>
      <c r="F27" s="67">
        <v>26193.75</v>
      </c>
      <c r="G27" s="10">
        <f>D27*F27</f>
        <v>26193.75</v>
      </c>
      <c r="H27" s="2"/>
    </row>
    <row r="28" spans="1:8" ht="15.6" x14ac:dyDescent="0.3">
      <c r="A28" s="2"/>
      <c r="B28" s="9"/>
      <c r="C28" s="9" t="s">
        <v>85</v>
      </c>
      <c r="D28" s="43">
        <v>3</v>
      </c>
      <c r="E28" s="24" t="s">
        <v>26</v>
      </c>
      <c r="F28" s="67">
        <v>7016.73</v>
      </c>
      <c r="G28" s="10">
        <f>D28*F28</f>
        <v>21050.19</v>
      </c>
      <c r="H28" s="2"/>
    </row>
    <row r="29" spans="1:8" ht="15.6" x14ac:dyDescent="0.3">
      <c r="A29" s="2"/>
      <c r="B29" s="9"/>
      <c r="C29" s="9" t="s">
        <v>86</v>
      </c>
      <c r="D29" s="43">
        <v>0.13</v>
      </c>
      <c r="E29" s="24" t="s">
        <v>26</v>
      </c>
      <c r="F29" s="67">
        <v>10000</v>
      </c>
      <c r="G29" s="10">
        <f>D29*F29</f>
        <v>1300</v>
      </c>
      <c r="H29" s="2"/>
    </row>
    <row r="30" spans="1:8" ht="15.6" x14ac:dyDescent="0.3">
      <c r="A30" s="2"/>
      <c r="B30" s="9"/>
      <c r="C30" s="57" t="s">
        <v>87</v>
      </c>
      <c r="D30" s="43"/>
      <c r="E30" s="24"/>
      <c r="F30" s="67"/>
      <c r="G30" s="10">
        <f>G24*2.5/100</f>
        <v>137.5</v>
      </c>
      <c r="H30" s="2"/>
    </row>
    <row r="31" spans="1:8" ht="15.6" x14ac:dyDescent="0.3">
      <c r="A31" s="2"/>
      <c r="B31" s="9"/>
      <c r="C31" s="57"/>
      <c r="D31" s="43"/>
      <c r="E31" s="24"/>
      <c r="F31" s="67"/>
      <c r="G31" s="10"/>
      <c r="H31" s="2"/>
    </row>
    <row r="32" spans="1:8" ht="15.6" x14ac:dyDescent="0.3">
      <c r="A32" s="2"/>
      <c r="B32" s="9"/>
      <c r="C32" s="25"/>
      <c r="D32" s="43"/>
      <c r="E32" s="24"/>
      <c r="F32" s="67"/>
      <c r="G32" s="10"/>
      <c r="H32" s="2"/>
    </row>
    <row r="33" spans="1:8" ht="16.2" thickBot="1" x14ac:dyDescent="0.35">
      <c r="A33" s="2"/>
      <c r="B33" s="9"/>
      <c r="C33" s="9" t="s">
        <v>14</v>
      </c>
      <c r="D33" s="43"/>
      <c r="E33" s="24"/>
      <c r="F33" s="67"/>
      <c r="G33" s="23">
        <f>SUM(G27:G31)</f>
        <v>48681.440000000002</v>
      </c>
      <c r="H33" s="2"/>
    </row>
    <row r="34" spans="1:8" ht="16.2" thickTop="1" x14ac:dyDescent="0.3">
      <c r="A34" s="2"/>
      <c r="B34" s="9"/>
      <c r="C34" s="9"/>
      <c r="D34" s="43"/>
      <c r="E34" s="24"/>
      <c r="F34" s="67"/>
      <c r="G34" s="10"/>
      <c r="H34" s="2"/>
    </row>
    <row r="35" spans="1:8" ht="15.6" x14ac:dyDescent="0.3">
      <c r="A35" s="2"/>
      <c r="B35" s="15" t="s">
        <v>15</v>
      </c>
      <c r="C35" s="15" t="s">
        <v>88</v>
      </c>
      <c r="D35" s="46"/>
      <c r="E35" s="36"/>
      <c r="F35" s="70"/>
      <c r="G35" s="16">
        <f>G24+G33+G18</f>
        <v>1681681.44</v>
      </c>
      <c r="H35" s="2"/>
    </row>
    <row r="36" spans="1:8" ht="15.6" x14ac:dyDescent="0.3">
      <c r="A36" s="2"/>
      <c r="B36" s="9"/>
      <c r="C36" s="9"/>
      <c r="D36" s="43"/>
      <c r="E36" s="24"/>
      <c r="F36" s="67"/>
      <c r="G36" s="10"/>
      <c r="H36" s="2"/>
    </row>
    <row r="37" spans="1:8" ht="15.6" x14ac:dyDescent="0.3">
      <c r="A37" s="2"/>
      <c r="B37" s="17" t="s">
        <v>17</v>
      </c>
      <c r="C37" s="17" t="s">
        <v>81</v>
      </c>
      <c r="D37" s="47"/>
      <c r="E37" s="37"/>
      <c r="F37" s="71"/>
      <c r="G37" s="78">
        <f>G35/100*0.353</f>
        <v>5936.3354831999995</v>
      </c>
      <c r="H37" s="80" t="s">
        <v>91</v>
      </c>
    </row>
    <row r="38" spans="1:8" ht="15.6" x14ac:dyDescent="0.3">
      <c r="A38" s="2"/>
      <c r="B38" s="9"/>
      <c r="C38" s="9"/>
      <c r="D38" s="43"/>
      <c r="E38" s="24"/>
      <c r="F38" s="67"/>
      <c r="G38" s="10"/>
      <c r="H38" s="2"/>
    </row>
    <row r="39" spans="1:8" ht="15.6" x14ac:dyDescent="0.3">
      <c r="A39" s="2"/>
      <c r="B39" s="9" t="s">
        <v>18</v>
      </c>
      <c r="C39" s="9" t="s">
        <v>89</v>
      </c>
      <c r="D39" s="43"/>
      <c r="E39" s="24"/>
      <c r="F39" s="67"/>
      <c r="G39" s="79">
        <f>G37*27/100</f>
        <v>1602.8105804639999</v>
      </c>
      <c r="H39" s="2"/>
    </row>
    <row r="40" spans="1:8" ht="15.6" x14ac:dyDescent="0.3">
      <c r="A40" s="2"/>
      <c r="B40" s="9"/>
      <c r="C40" s="9"/>
      <c r="D40" s="43"/>
      <c r="E40" s="24"/>
      <c r="F40" s="67"/>
      <c r="G40" s="10"/>
      <c r="H40" s="2"/>
    </row>
    <row r="41" spans="1:8" ht="15.6" x14ac:dyDescent="0.3">
      <c r="A41" s="2"/>
      <c r="B41" s="17" t="s">
        <v>82</v>
      </c>
      <c r="C41" s="17" t="s">
        <v>80</v>
      </c>
      <c r="D41" s="47"/>
      <c r="E41" s="37"/>
      <c r="F41" s="71"/>
      <c r="G41" s="78">
        <f>SUM(G37+G39)</f>
        <v>7539.1460636639995</v>
      </c>
      <c r="H41" s="2"/>
    </row>
    <row r="42" spans="1:8" ht="15.6" x14ac:dyDescent="0.3">
      <c r="A42" s="2"/>
      <c r="B42" s="9"/>
      <c r="C42" s="9"/>
      <c r="D42" s="43"/>
      <c r="E42" s="24"/>
      <c r="F42" s="67"/>
      <c r="G42" s="10"/>
      <c r="H42" s="2"/>
    </row>
    <row r="43" spans="1:8" ht="15.6" x14ac:dyDescent="0.3">
      <c r="A43" s="2"/>
      <c r="B43" s="19"/>
      <c r="C43" s="19"/>
      <c r="D43" s="48"/>
      <c r="E43" s="38"/>
      <c r="F43" s="72"/>
      <c r="G43" s="20"/>
      <c r="H43" s="2"/>
    </row>
    <row r="44" spans="1:8" ht="15.6" x14ac:dyDescent="0.3">
      <c r="A44" s="2"/>
      <c r="B44" s="2"/>
      <c r="C44" s="2"/>
      <c r="D44" s="39"/>
      <c r="E44" s="21"/>
      <c r="F44" s="61"/>
      <c r="G44" s="2"/>
      <c r="H44" s="2"/>
    </row>
    <row r="45" spans="1:8" ht="15.6" x14ac:dyDescent="0.3">
      <c r="B45" s="2"/>
      <c r="C45" s="2"/>
      <c r="D45" s="39"/>
      <c r="E45" s="21"/>
      <c r="F45" s="61"/>
      <c r="G45" s="2"/>
    </row>
    <row r="46" spans="1:8" ht="15.6" x14ac:dyDescent="0.3">
      <c r="A46" s="27" t="s">
        <v>70</v>
      </c>
      <c r="B46" s="27" t="s">
        <v>71</v>
      </c>
      <c r="D46" s="40"/>
      <c r="E46" s="31"/>
      <c r="F46" s="61"/>
      <c r="G46" s="2"/>
    </row>
    <row r="48" spans="1:8" ht="31.2" x14ac:dyDescent="0.3">
      <c r="B48" s="4" t="s">
        <v>0</v>
      </c>
      <c r="C48" s="4" t="s">
        <v>1</v>
      </c>
      <c r="D48" s="26" t="s">
        <v>2</v>
      </c>
      <c r="E48" s="4" t="s">
        <v>3</v>
      </c>
      <c r="F48" s="64" t="s">
        <v>4</v>
      </c>
      <c r="G48" s="4" t="s">
        <v>5</v>
      </c>
    </row>
    <row r="49" spans="2:7" ht="15.6" x14ac:dyDescent="0.3">
      <c r="B49" s="5"/>
      <c r="C49" s="5"/>
      <c r="D49" s="41"/>
      <c r="E49" s="32"/>
      <c r="F49" s="65"/>
      <c r="G49" s="6"/>
    </row>
    <row r="50" spans="2:7" ht="15.6" x14ac:dyDescent="0.3">
      <c r="B50" s="7" t="s">
        <v>6</v>
      </c>
      <c r="C50" s="7" t="s">
        <v>7</v>
      </c>
      <c r="D50" s="42"/>
      <c r="E50" s="33"/>
      <c r="F50" s="66"/>
      <c r="G50" s="8"/>
    </row>
    <row r="51" spans="2:7" ht="15.6" x14ac:dyDescent="0.3">
      <c r="B51" s="9"/>
      <c r="C51" s="9"/>
      <c r="D51" s="43"/>
      <c r="E51" s="24"/>
      <c r="F51" s="67"/>
      <c r="G51" s="10"/>
    </row>
    <row r="52" spans="2:7" ht="15.6" x14ac:dyDescent="0.3">
      <c r="B52" s="9"/>
      <c r="C52" s="9"/>
      <c r="D52" s="43"/>
      <c r="E52" s="24"/>
      <c r="F52" s="67"/>
      <c r="G52" s="10"/>
    </row>
    <row r="53" spans="2:7" ht="15.6" x14ac:dyDescent="0.3">
      <c r="B53" s="9"/>
      <c r="C53" s="9" t="s">
        <v>30</v>
      </c>
      <c r="D53" s="43"/>
      <c r="E53" s="24"/>
      <c r="F53" s="67"/>
      <c r="G53" s="10">
        <f>SUM(G51:G52)</f>
        <v>0</v>
      </c>
    </row>
    <row r="54" spans="2:7" ht="15.6" x14ac:dyDescent="0.3">
      <c r="B54" s="9"/>
      <c r="C54" s="9" t="s">
        <v>31</v>
      </c>
      <c r="D54" s="43"/>
      <c r="E54" s="24"/>
      <c r="F54" s="67"/>
      <c r="G54" s="10">
        <f>G53/20</f>
        <v>0</v>
      </c>
    </row>
    <row r="55" spans="2:7" ht="16.2" thickBot="1" x14ac:dyDescent="0.35">
      <c r="B55" s="9"/>
      <c r="C55" s="9" t="s">
        <v>8</v>
      </c>
      <c r="D55" s="43"/>
      <c r="E55" s="24"/>
      <c r="F55" s="67"/>
      <c r="G55" s="23">
        <f>SUM(G53:G54)</f>
        <v>0</v>
      </c>
    </row>
    <row r="56" spans="2:7" ht="16.2" thickTop="1" x14ac:dyDescent="0.3">
      <c r="B56" s="9"/>
      <c r="C56" s="9"/>
      <c r="D56" s="43"/>
      <c r="E56" s="24"/>
      <c r="F56" s="67"/>
      <c r="G56" s="10"/>
    </row>
    <row r="57" spans="2:7" ht="15.6" x14ac:dyDescent="0.3">
      <c r="B57" s="11" t="s">
        <v>9</v>
      </c>
      <c r="C57" s="11" t="s">
        <v>10</v>
      </c>
      <c r="D57" s="44"/>
      <c r="E57" s="34"/>
      <c r="F57" s="68"/>
      <c r="G57" s="12"/>
    </row>
    <row r="58" spans="2:7" ht="15.6" x14ac:dyDescent="0.3">
      <c r="B58" s="9"/>
      <c r="C58" t="s">
        <v>22</v>
      </c>
      <c r="D58" s="43">
        <v>0.05</v>
      </c>
      <c r="E58" s="24" t="s">
        <v>23</v>
      </c>
      <c r="F58" s="67">
        <v>2500</v>
      </c>
      <c r="G58" s="10">
        <f>D58*F58</f>
        <v>125</v>
      </c>
    </row>
    <row r="59" spans="2:7" ht="15.6" x14ac:dyDescent="0.3">
      <c r="B59" s="9"/>
      <c r="C59" s="9"/>
      <c r="D59" s="43"/>
      <c r="E59" s="24"/>
      <c r="F59" s="67"/>
      <c r="G59" s="10"/>
    </row>
    <row r="60" spans="2:7" ht="15.6" x14ac:dyDescent="0.3">
      <c r="B60" s="9"/>
      <c r="C60" s="9"/>
      <c r="D60" s="43"/>
      <c r="E60" s="24"/>
      <c r="F60" s="67"/>
      <c r="G60" s="10"/>
    </row>
    <row r="61" spans="2:7" ht="16.2" thickBot="1" x14ac:dyDescent="0.35">
      <c r="B61" s="9"/>
      <c r="C61" s="9" t="s">
        <v>11</v>
      </c>
      <c r="D61" s="43"/>
      <c r="E61" s="24"/>
      <c r="F61" s="67"/>
      <c r="G61" s="23">
        <f>SUM(G58:G60)</f>
        <v>125</v>
      </c>
    </row>
    <row r="62" spans="2:7" ht="16.2" thickTop="1" x14ac:dyDescent="0.3">
      <c r="B62" s="9"/>
      <c r="C62" s="9"/>
      <c r="D62" s="43"/>
      <c r="E62" s="24"/>
      <c r="F62" s="67"/>
      <c r="G62" s="10"/>
    </row>
    <row r="63" spans="2:7" ht="15.6" x14ac:dyDescent="0.3">
      <c r="B63" s="13" t="s">
        <v>12</v>
      </c>
      <c r="C63" s="13" t="s">
        <v>13</v>
      </c>
      <c r="D63" s="45"/>
      <c r="E63" s="35"/>
      <c r="F63" s="69"/>
      <c r="G63" s="14"/>
    </row>
    <row r="64" spans="2:7" thickTop="1" x14ac:dyDescent="0.3">
      <c r="B64" s="9"/>
      <c r="C64" s="9" t="s">
        <v>24</v>
      </c>
      <c r="D64" s="43">
        <v>0.05</v>
      </c>
      <c r="E64" s="24" t="s">
        <v>26</v>
      </c>
      <c r="F64" s="67">
        <v>100</v>
      </c>
      <c r="G64" s="10">
        <f>D64*F64</f>
        <v>5</v>
      </c>
    </row>
    <row r="65" spans="1:7" ht="15.6" x14ac:dyDescent="0.3">
      <c r="B65" s="9"/>
      <c r="C65" s="57" t="s">
        <v>25</v>
      </c>
      <c r="D65" s="43">
        <v>1</v>
      </c>
      <c r="E65" s="24" t="s">
        <v>27</v>
      </c>
      <c r="F65" s="67">
        <v>21.37</v>
      </c>
      <c r="G65" s="10">
        <f t="shared" ref="G65:G68" si="1">D65*F65</f>
        <v>21.37</v>
      </c>
    </row>
    <row r="66" spans="1:7" ht="15.6" x14ac:dyDescent="0.3">
      <c r="B66" s="9"/>
      <c r="C66" s="57"/>
      <c r="D66" s="43"/>
      <c r="E66" s="24"/>
      <c r="F66" s="67"/>
      <c r="G66" s="10">
        <f t="shared" si="1"/>
        <v>0</v>
      </c>
    </row>
    <row r="67" spans="1:7" ht="15.6" x14ac:dyDescent="0.3">
      <c r="B67" s="9"/>
      <c r="C67" s="2" t="s">
        <v>29</v>
      </c>
      <c r="D67" s="43">
        <v>0.1</v>
      </c>
      <c r="E67" s="24" t="s">
        <v>28</v>
      </c>
      <c r="F67" s="67">
        <v>5000</v>
      </c>
      <c r="G67" s="10">
        <f t="shared" si="1"/>
        <v>500</v>
      </c>
    </row>
    <row r="68" spans="1:7" ht="15.6" x14ac:dyDescent="0.3">
      <c r="B68" s="9"/>
      <c r="C68" s="2"/>
      <c r="D68" s="43"/>
      <c r="E68" s="24"/>
      <c r="F68" s="67"/>
      <c r="G68" s="10">
        <f t="shared" si="1"/>
        <v>0</v>
      </c>
    </row>
    <row r="69" spans="1:7" ht="15.6" x14ac:dyDescent="0.3">
      <c r="B69" s="9"/>
      <c r="C69" s="25"/>
      <c r="D69" s="43"/>
      <c r="E69" s="24"/>
      <c r="F69" s="67"/>
      <c r="G69" s="10"/>
    </row>
    <row r="70" spans="1:7" ht="16.2" thickBot="1" x14ac:dyDescent="0.35">
      <c r="B70" s="9"/>
      <c r="C70" s="9" t="s">
        <v>14</v>
      </c>
      <c r="D70" s="43"/>
      <c r="E70" s="24"/>
      <c r="F70" s="67"/>
      <c r="G70" s="23">
        <f>SUM(G64:G69)</f>
        <v>526.37</v>
      </c>
    </row>
    <row r="71" spans="1:7" ht="16.2" thickTop="1" x14ac:dyDescent="0.3">
      <c r="B71" s="9"/>
      <c r="C71" s="9"/>
      <c r="D71" s="43"/>
      <c r="E71" s="24"/>
      <c r="F71" s="67"/>
      <c r="G71" s="10"/>
    </row>
    <row r="72" spans="1:7" ht="15.6" x14ac:dyDescent="0.3">
      <c r="B72" s="15" t="s">
        <v>15</v>
      </c>
      <c r="C72" s="15" t="s">
        <v>16</v>
      </c>
      <c r="D72" s="46"/>
      <c r="E72" s="36"/>
      <c r="F72" s="70"/>
      <c r="G72" s="16">
        <f>SUM(G61+G70)</f>
        <v>651.37</v>
      </c>
    </row>
    <row r="73" spans="1:7" ht="15.6" x14ac:dyDescent="0.3">
      <c r="B73" s="9"/>
      <c r="C73" s="9"/>
      <c r="D73" s="43"/>
      <c r="E73" s="24"/>
      <c r="F73" s="67"/>
      <c r="G73" s="10"/>
    </row>
    <row r="74" spans="1:7" ht="15.6" x14ac:dyDescent="0.3">
      <c r="B74" s="9" t="s">
        <v>17</v>
      </c>
      <c r="C74" s="9" t="s">
        <v>32</v>
      </c>
      <c r="D74" s="43"/>
      <c r="E74" s="24"/>
      <c r="F74" s="67"/>
      <c r="G74" s="10">
        <f>G72/10</f>
        <v>65.137</v>
      </c>
    </row>
    <row r="75" spans="1:7" ht="15.6" x14ac:dyDescent="0.3">
      <c r="B75" s="9"/>
      <c r="C75" s="9"/>
      <c r="D75" s="43"/>
      <c r="E75" s="24"/>
      <c r="F75" s="67"/>
      <c r="G75" s="10"/>
    </row>
    <row r="76" spans="1:7" ht="15.6" x14ac:dyDescent="0.3">
      <c r="B76" s="17" t="s">
        <v>18</v>
      </c>
      <c r="C76" s="17" t="s">
        <v>19</v>
      </c>
      <c r="D76" s="47"/>
      <c r="E76" s="37"/>
      <c r="F76" s="71"/>
      <c r="G76" s="18">
        <f>SUM(G72+G74)</f>
        <v>716.50700000000006</v>
      </c>
    </row>
    <row r="77" spans="1:7" ht="15.6" x14ac:dyDescent="0.3">
      <c r="B77" s="9"/>
      <c r="C77" s="9"/>
      <c r="D77" s="43"/>
      <c r="E77" s="24"/>
      <c r="F77" s="67"/>
      <c r="G77" s="10"/>
    </row>
    <row r="78" spans="1:7" ht="15.6" x14ac:dyDescent="0.3">
      <c r="B78" s="19"/>
      <c r="C78" s="19"/>
      <c r="D78" s="48"/>
      <c r="E78" s="38"/>
      <c r="F78" s="72"/>
      <c r="G78" s="20"/>
    </row>
    <row r="79" spans="1:7" ht="15.6" x14ac:dyDescent="0.3">
      <c r="B79" s="2"/>
      <c r="C79" s="2"/>
      <c r="D79" s="39"/>
      <c r="E79" s="21"/>
      <c r="F79" s="61"/>
      <c r="G79" s="2"/>
    </row>
    <row r="80" spans="1:7" ht="15.6" x14ac:dyDescent="0.3">
      <c r="A80" s="27" t="s">
        <v>72</v>
      </c>
      <c r="B80" s="56" t="s">
        <v>75</v>
      </c>
      <c r="C80" s="56"/>
      <c r="D80" s="56"/>
      <c r="E80" s="56"/>
      <c r="F80" s="56"/>
      <c r="G80" s="56"/>
    </row>
    <row r="81" spans="1:7" ht="15.6" x14ac:dyDescent="0.3">
      <c r="A81" s="27"/>
      <c r="B81" s="56"/>
      <c r="C81" s="56"/>
      <c r="D81" s="56"/>
      <c r="E81" s="56"/>
      <c r="F81" s="56"/>
      <c r="G81" s="56"/>
    </row>
    <row r="82" spans="1:7" x14ac:dyDescent="0.3">
      <c r="B82" s="56"/>
      <c r="C82" s="56"/>
      <c r="D82" s="56"/>
      <c r="E82" s="56"/>
      <c r="F82" s="56"/>
      <c r="G82" s="56"/>
    </row>
    <row r="84" spans="1:7" ht="31.2" x14ac:dyDescent="0.3">
      <c r="B84" s="4" t="s">
        <v>0</v>
      </c>
      <c r="C84" s="4" t="s">
        <v>1</v>
      </c>
      <c r="D84" s="26" t="s">
        <v>2</v>
      </c>
      <c r="E84" s="4" t="s">
        <v>3</v>
      </c>
      <c r="F84" s="64" t="s">
        <v>4</v>
      </c>
      <c r="G84" s="4" t="s">
        <v>5</v>
      </c>
    </row>
    <row r="85" spans="1:7" ht="15.6" x14ac:dyDescent="0.3">
      <c r="B85" s="5"/>
      <c r="C85" s="5"/>
      <c r="D85" s="41"/>
      <c r="E85" s="32"/>
      <c r="F85" s="65"/>
      <c r="G85" s="6"/>
    </row>
    <row r="86" spans="1:7" ht="15.6" x14ac:dyDescent="0.3">
      <c r="B86" s="7" t="s">
        <v>6</v>
      </c>
      <c r="C86" s="7" t="s">
        <v>7</v>
      </c>
      <c r="D86" s="42"/>
      <c r="E86" s="33"/>
      <c r="F86" s="66"/>
      <c r="G86" s="8"/>
    </row>
    <row r="87" spans="1:7" ht="15.6" x14ac:dyDescent="0.3">
      <c r="B87" s="9"/>
      <c r="C87" s="9"/>
      <c r="D87" s="43"/>
      <c r="E87" s="24"/>
      <c r="F87" s="67"/>
      <c r="G87" s="10"/>
    </row>
    <row r="88" spans="1:7" ht="15.6" x14ac:dyDescent="0.3">
      <c r="B88" s="9"/>
      <c r="C88" s="9" t="s">
        <v>98</v>
      </c>
      <c r="D88" s="43"/>
      <c r="E88" s="24" t="s">
        <v>99</v>
      </c>
      <c r="F88" s="67">
        <v>15000</v>
      </c>
      <c r="G88" s="10"/>
    </row>
    <row r="89" spans="1:7" ht="15.6" x14ac:dyDescent="0.3">
      <c r="B89" s="9"/>
      <c r="C89" s="81" t="s">
        <v>93</v>
      </c>
      <c r="D89" s="43"/>
      <c r="E89" s="24"/>
      <c r="F89" s="67"/>
      <c r="G89" s="10"/>
    </row>
    <row r="90" spans="1:7" ht="15.6" x14ac:dyDescent="0.3">
      <c r="B90" s="9"/>
      <c r="C90" s="81"/>
      <c r="D90" s="43"/>
      <c r="E90" s="24"/>
      <c r="F90" s="67"/>
      <c r="G90" s="10"/>
    </row>
    <row r="91" spans="1:7" ht="15.6" x14ac:dyDescent="0.3">
      <c r="B91" s="9"/>
      <c r="C91" s="9" t="s">
        <v>30</v>
      </c>
      <c r="D91" s="43"/>
      <c r="E91" s="24"/>
      <c r="F91" s="67"/>
      <c r="G91" s="10">
        <f>SUM(G87:G90)</f>
        <v>0</v>
      </c>
    </row>
    <row r="92" spans="1:7" ht="15.6" x14ac:dyDescent="0.3">
      <c r="B92" s="9"/>
      <c r="C92" s="9" t="s">
        <v>31</v>
      </c>
      <c r="D92" s="43"/>
      <c r="E92" s="24"/>
      <c r="F92" s="67"/>
      <c r="G92" s="10">
        <f>G91/20</f>
        <v>0</v>
      </c>
    </row>
    <row r="93" spans="1:7" ht="16.2" thickBot="1" x14ac:dyDescent="0.35">
      <c r="B93" s="9"/>
      <c r="C93" s="9" t="s">
        <v>8</v>
      </c>
      <c r="D93" s="43"/>
      <c r="E93" s="24"/>
      <c r="F93" s="67"/>
      <c r="G93" s="23">
        <f>SUM(G91:G92)</f>
        <v>0</v>
      </c>
    </row>
    <row r="94" spans="1:7" ht="16.2" thickTop="1" x14ac:dyDescent="0.3">
      <c r="B94" s="9"/>
      <c r="C94" s="9"/>
      <c r="D94" s="43"/>
      <c r="E94" s="24"/>
      <c r="F94" s="67"/>
      <c r="G94" s="10"/>
    </row>
    <row r="95" spans="1:7" ht="15.6" x14ac:dyDescent="0.3">
      <c r="B95" s="11" t="s">
        <v>9</v>
      </c>
      <c r="C95" s="11" t="s">
        <v>10</v>
      </c>
      <c r="D95" s="44"/>
      <c r="E95" s="34"/>
      <c r="F95" s="68"/>
      <c r="G95" s="12"/>
    </row>
    <row r="96" spans="1:7" ht="15.6" x14ac:dyDescent="0.3">
      <c r="B96" s="9"/>
      <c r="C96" t="s">
        <v>22</v>
      </c>
      <c r="D96" s="43">
        <v>0.8</v>
      </c>
      <c r="E96" s="24" t="s">
        <v>23</v>
      </c>
      <c r="F96" s="67">
        <v>1500</v>
      </c>
      <c r="G96" s="10">
        <f>D96*F96</f>
        <v>1200</v>
      </c>
    </row>
    <row r="97" spans="2:8" ht="15.6" x14ac:dyDescent="0.3">
      <c r="B97" s="9"/>
      <c r="C97" s="9" t="s">
        <v>94</v>
      </c>
      <c r="D97" s="43"/>
      <c r="E97" s="24" t="s">
        <v>23</v>
      </c>
      <c r="F97" s="67">
        <v>2000</v>
      </c>
      <c r="G97" s="10"/>
    </row>
    <row r="98" spans="2:8" ht="15.6" x14ac:dyDescent="0.3">
      <c r="B98" s="9"/>
      <c r="C98" s="9"/>
      <c r="D98" s="43"/>
      <c r="E98" s="24"/>
      <c r="F98" s="67"/>
      <c r="G98" s="10"/>
    </row>
    <row r="99" spans="2:8" ht="16.2" thickBot="1" x14ac:dyDescent="0.35">
      <c r="B99" s="9"/>
      <c r="C99" s="9" t="s">
        <v>11</v>
      </c>
      <c r="D99" s="43"/>
      <c r="E99" s="24"/>
      <c r="F99" s="67"/>
      <c r="G99" s="23">
        <f>SUM(G96:G98)</f>
        <v>1200</v>
      </c>
    </row>
    <row r="100" spans="2:8" ht="16.2" thickTop="1" x14ac:dyDescent="0.3">
      <c r="B100" s="9"/>
      <c r="C100" s="9"/>
      <c r="D100" s="43"/>
      <c r="E100" s="24"/>
      <c r="F100" s="67"/>
      <c r="G100" s="10"/>
    </row>
    <row r="101" spans="2:8" ht="15.6" x14ac:dyDescent="0.3">
      <c r="B101" s="13" t="s">
        <v>12</v>
      </c>
      <c r="C101" s="13" t="s">
        <v>13</v>
      </c>
      <c r="D101" s="45"/>
      <c r="E101" s="35"/>
      <c r="F101" s="69"/>
      <c r="G101" s="14"/>
    </row>
    <row r="102" spans="2:8" ht="15.6" x14ac:dyDescent="0.3">
      <c r="B102" s="9"/>
      <c r="C102" s="9" t="s">
        <v>24</v>
      </c>
      <c r="D102" s="43">
        <v>0.8</v>
      </c>
      <c r="E102" s="24" t="s">
        <v>26</v>
      </c>
      <c r="F102" s="67">
        <v>100</v>
      </c>
      <c r="G102" s="10">
        <f>D102*F102</f>
        <v>80</v>
      </c>
    </row>
    <row r="103" spans="2:8" x14ac:dyDescent="0.3">
      <c r="B103" s="9"/>
      <c r="C103" s="57" t="s">
        <v>25</v>
      </c>
      <c r="D103" s="43">
        <v>1</v>
      </c>
      <c r="E103" s="24" t="s">
        <v>27</v>
      </c>
      <c r="F103" s="67">
        <v>21.37</v>
      </c>
      <c r="G103" s="10">
        <f t="shared" ref="G103" si="2">D103*F103</f>
        <v>21.37</v>
      </c>
    </row>
    <row r="104" spans="2:8" ht="15.6" x14ac:dyDescent="0.3">
      <c r="B104" s="9"/>
      <c r="C104" s="57"/>
      <c r="D104" s="43"/>
      <c r="E104" s="24"/>
      <c r="F104" s="67"/>
      <c r="G104" s="10"/>
    </row>
    <row r="105" spans="2:8" ht="15.6" x14ac:dyDescent="0.3">
      <c r="B105" s="9"/>
      <c r="C105" s="2"/>
      <c r="D105" s="43"/>
      <c r="E105" s="24"/>
      <c r="F105" s="67"/>
      <c r="G105" s="10"/>
    </row>
    <row r="106" spans="2:8" ht="15.6" x14ac:dyDescent="0.3">
      <c r="B106" s="9"/>
      <c r="C106" s="2"/>
      <c r="D106" s="43"/>
      <c r="E106" s="24"/>
      <c r="F106" s="67"/>
      <c r="G106" s="10"/>
    </row>
    <row r="107" spans="2:8" ht="15.6" x14ac:dyDescent="0.3">
      <c r="B107" s="9"/>
      <c r="C107" s="25"/>
      <c r="D107" s="43"/>
      <c r="E107" s="24"/>
      <c r="F107" s="67"/>
      <c r="G107" s="10"/>
    </row>
    <row r="108" spans="2:8" ht="16.2" thickBot="1" x14ac:dyDescent="0.35">
      <c r="B108" s="9"/>
      <c r="C108" s="9" t="s">
        <v>14</v>
      </c>
      <c r="D108" s="43"/>
      <c r="E108" s="24"/>
      <c r="F108" s="67"/>
      <c r="G108" s="23">
        <f>SUM(G102:G107)</f>
        <v>101.37</v>
      </c>
    </row>
    <row r="109" spans="2:8" ht="16.2" thickTop="1" x14ac:dyDescent="0.3">
      <c r="B109" s="9"/>
      <c r="C109" s="9"/>
      <c r="D109" s="43"/>
      <c r="E109" s="24"/>
      <c r="F109" s="67"/>
      <c r="G109" s="10"/>
    </row>
    <row r="110" spans="2:8" ht="15.6" x14ac:dyDescent="0.3">
      <c r="B110" s="9"/>
      <c r="C110" s="9" t="s">
        <v>95</v>
      </c>
      <c r="D110" s="43"/>
      <c r="E110" s="24"/>
      <c r="F110" s="67"/>
      <c r="G110" s="10">
        <f>861*(0.6*0.6*230)</f>
        <v>71290.8</v>
      </c>
      <c r="H110" s="86" t="s">
        <v>96</v>
      </c>
    </row>
    <row r="111" spans="2:8" ht="15.6" x14ac:dyDescent="0.3">
      <c r="B111" s="9"/>
      <c r="C111" s="9" t="s">
        <v>97</v>
      </c>
      <c r="D111" s="43"/>
      <c r="E111" s="24"/>
      <c r="F111" s="67"/>
      <c r="G111" s="10">
        <f>530*(0.6*0.6*230)</f>
        <v>43884</v>
      </c>
      <c r="H111" s="86"/>
    </row>
    <row r="112" spans="2:8" ht="15.6" x14ac:dyDescent="0.3">
      <c r="B112" s="9"/>
      <c r="D112" s="43"/>
      <c r="E112" s="24"/>
      <c r="F112" s="67"/>
      <c r="G112" s="10"/>
    </row>
    <row r="113" spans="1:7" ht="15.6" x14ac:dyDescent="0.3">
      <c r="B113" s="15" t="s">
        <v>15</v>
      </c>
      <c r="C113" s="15" t="s">
        <v>16</v>
      </c>
      <c r="D113" s="46"/>
      <c r="E113" s="36"/>
      <c r="F113" s="70"/>
      <c r="G113" s="16">
        <f>SUM(G99+G108)</f>
        <v>1301.3699999999999</v>
      </c>
    </row>
    <row r="114" spans="1:7" ht="15.6" x14ac:dyDescent="0.3">
      <c r="B114" s="9"/>
      <c r="C114" s="9"/>
      <c r="D114" s="43"/>
      <c r="E114" s="24"/>
      <c r="F114" s="67"/>
      <c r="G114" s="10"/>
    </row>
    <row r="115" spans="1:7" ht="15.6" x14ac:dyDescent="0.3">
      <c r="B115" s="9" t="s">
        <v>17</v>
      </c>
      <c r="C115" s="9" t="s">
        <v>32</v>
      </c>
      <c r="D115" s="43"/>
      <c r="E115" s="24"/>
      <c r="F115" s="67"/>
      <c r="G115" s="10">
        <f>G113/10</f>
        <v>130.137</v>
      </c>
    </row>
    <row r="116" spans="1:7" ht="15.6" x14ac:dyDescent="0.3">
      <c r="B116" s="9"/>
      <c r="C116" s="9"/>
      <c r="D116" s="43"/>
      <c r="E116" s="24"/>
      <c r="F116" s="67"/>
      <c r="G116" s="10"/>
    </row>
    <row r="117" spans="1:7" ht="15.6" x14ac:dyDescent="0.3">
      <c r="B117" s="17" t="s">
        <v>18</v>
      </c>
      <c r="C117" s="17" t="s">
        <v>19</v>
      </c>
      <c r="D117" s="47"/>
      <c r="E117" s="37"/>
      <c r="F117" s="71"/>
      <c r="G117" s="18">
        <f>SUM(G113+G115)</f>
        <v>1431.5069999999998</v>
      </c>
    </row>
    <row r="118" spans="1:7" ht="15.6" x14ac:dyDescent="0.3">
      <c r="B118" s="9"/>
      <c r="C118" s="9"/>
      <c r="D118" s="43"/>
      <c r="E118" s="24"/>
      <c r="F118" s="67"/>
      <c r="G118" s="10"/>
    </row>
    <row r="119" spans="1:7" ht="15.6" x14ac:dyDescent="0.3">
      <c r="B119" s="19"/>
      <c r="C119" s="19"/>
      <c r="D119" s="48"/>
      <c r="E119" s="38"/>
      <c r="F119" s="72"/>
      <c r="G119" s="20"/>
    </row>
    <row r="120" spans="1:7" ht="15.6" x14ac:dyDescent="0.3">
      <c r="B120" s="82"/>
      <c r="C120" s="82"/>
      <c r="D120" s="83"/>
      <c r="E120" s="84"/>
      <c r="F120" s="85"/>
      <c r="G120" s="82"/>
    </row>
    <row r="121" spans="1:7" ht="15.6" x14ac:dyDescent="0.3">
      <c r="B121" s="82"/>
      <c r="C121" s="82"/>
      <c r="D121" s="83"/>
      <c r="E121" s="84"/>
      <c r="F121" s="85"/>
      <c r="G121" s="82"/>
    </row>
    <row r="122" spans="1:7" ht="15.6" x14ac:dyDescent="0.3">
      <c r="B122" s="2"/>
      <c r="C122" s="2"/>
      <c r="D122" s="39"/>
      <c r="E122" s="21"/>
      <c r="F122" s="61"/>
      <c r="G122" s="2"/>
    </row>
    <row r="124" spans="1:7" ht="15.6" x14ac:dyDescent="0.3">
      <c r="A124" s="27" t="s">
        <v>73</v>
      </c>
      <c r="B124" s="27" t="s">
        <v>74</v>
      </c>
    </row>
    <row r="127" spans="1:7" ht="31.2" x14ac:dyDescent="0.3">
      <c r="B127" s="4" t="s">
        <v>0</v>
      </c>
      <c r="C127" s="4" t="s">
        <v>1</v>
      </c>
      <c r="D127" s="26" t="s">
        <v>2</v>
      </c>
      <c r="E127" s="4" t="s">
        <v>3</v>
      </c>
      <c r="F127" s="64" t="s">
        <v>4</v>
      </c>
      <c r="G127" s="4" t="s">
        <v>5</v>
      </c>
    </row>
    <row r="128" spans="1:7" ht="15.6" x14ac:dyDescent="0.3">
      <c r="B128" s="5"/>
      <c r="C128" s="5"/>
      <c r="D128" s="41"/>
      <c r="E128" s="32"/>
      <c r="F128" s="65"/>
      <c r="G128" s="6"/>
    </row>
    <row r="129" spans="2:7" ht="15.6" x14ac:dyDescent="0.3">
      <c r="B129" s="7" t="s">
        <v>6</v>
      </c>
      <c r="C129" s="7" t="s">
        <v>7</v>
      </c>
      <c r="D129" s="42"/>
      <c r="E129" s="33"/>
      <c r="F129" s="66"/>
      <c r="G129" s="8"/>
    </row>
    <row r="130" spans="2:7" ht="15.6" x14ac:dyDescent="0.3">
      <c r="B130" s="9"/>
      <c r="C130" s="9"/>
      <c r="D130" s="43"/>
      <c r="E130" s="24"/>
      <c r="F130" s="67"/>
      <c r="G130" s="10"/>
    </row>
    <row r="131" spans="2:7" ht="15.6" x14ac:dyDescent="0.3">
      <c r="B131" s="9"/>
      <c r="C131" s="9"/>
      <c r="D131" s="43"/>
      <c r="E131" s="24"/>
      <c r="F131" s="67"/>
      <c r="G131" s="10"/>
    </row>
    <row r="132" spans="2:7" x14ac:dyDescent="0.3">
      <c r="B132" s="9"/>
      <c r="C132" s="9" t="s">
        <v>30</v>
      </c>
      <c r="D132" s="43"/>
      <c r="E132" s="24"/>
      <c r="F132" s="67"/>
      <c r="G132" s="10">
        <f>SUM(G130:G131)</f>
        <v>0</v>
      </c>
    </row>
    <row r="133" spans="2:7" ht="15.6" x14ac:dyDescent="0.3">
      <c r="B133" s="9"/>
      <c r="C133" s="9" t="s">
        <v>31</v>
      </c>
      <c r="D133" s="43"/>
      <c r="E133" s="24"/>
      <c r="F133" s="67"/>
      <c r="G133" s="10">
        <f>G132/20</f>
        <v>0</v>
      </c>
    </row>
    <row r="134" spans="2:7" ht="16.2" thickBot="1" x14ac:dyDescent="0.35">
      <c r="B134" s="9"/>
      <c r="C134" s="9" t="s">
        <v>8</v>
      </c>
      <c r="D134" s="43"/>
      <c r="E134" s="24"/>
      <c r="F134" s="67"/>
      <c r="G134" s="23">
        <f>SUM(G132:G133)</f>
        <v>0</v>
      </c>
    </row>
    <row r="135" spans="2:7" ht="16.2" thickTop="1" x14ac:dyDescent="0.3">
      <c r="B135" s="9"/>
      <c r="C135" s="9"/>
      <c r="D135" s="43"/>
      <c r="E135" s="24"/>
      <c r="F135" s="67"/>
      <c r="G135" s="10"/>
    </row>
    <row r="136" spans="2:7" ht="15.6" x14ac:dyDescent="0.3">
      <c r="B136" s="11" t="s">
        <v>9</v>
      </c>
      <c r="C136" s="11" t="s">
        <v>10</v>
      </c>
      <c r="D136" s="44"/>
      <c r="E136" s="34"/>
      <c r="F136" s="68"/>
      <c r="G136" s="12"/>
    </row>
    <row r="137" spans="2:7" ht="15.6" x14ac:dyDescent="0.3">
      <c r="B137" s="9"/>
      <c r="C137" t="s">
        <v>22</v>
      </c>
      <c r="D137" s="43">
        <v>0.2</v>
      </c>
      <c r="E137" s="24" t="s">
        <v>23</v>
      </c>
      <c r="F137" s="67">
        <v>2500</v>
      </c>
      <c r="G137" s="10">
        <f>D137*F137</f>
        <v>500</v>
      </c>
    </row>
    <row r="138" spans="2:7" ht="15.6" x14ac:dyDescent="0.3">
      <c r="B138" s="9"/>
      <c r="C138" s="9"/>
      <c r="D138" s="43"/>
      <c r="E138" s="24"/>
      <c r="F138" s="67"/>
      <c r="G138" s="10"/>
    </row>
    <row r="139" spans="2:7" ht="15.6" x14ac:dyDescent="0.3">
      <c r="B139" s="9"/>
      <c r="C139" s="9"/>
      <c r="D139" s="43"/>
      <c r="E139" s="24"/>
      <c r="F139" s="67"/>
      <c r="G139" s="10"/>
    </row>
    <row r="140" spans="2:7" ht="16.2" thickBot="1" x14ac:dyDescent="0.35">
      <c r="B140" s="9"/>
      <c r="C140" s="9" t="s">
        <v>11</v>
      </c>
      <c r="D140" s="43"/>
      <c r="E140" s="24"/>
      <c r="F140" s="67"/>
      <c r="G140" s="23">
        <f>SUM(G137:G139)</f>
        <v>500</v>
      </c>
    </row>
    <row r="141" spans="2:7" ht="16.2" thickTop="1" x14ac:dyDescent="0.3">
      <c r="B141" s="9"/>
      <c r="C141" s="9"/>
      <c r="D141" s="43"/>
      <c r="E141" s="24"/>
      <c r="F141" s="67"/>
      <c r="G141" s="10"/>
    </row>
    <row r="142" spans="2:7" ht="15.6" x14ac:dyDescent="0.3">
      <c r="B142" s="13" t="s">
        <v>12</v>
      </c>
      <c r="C142" s="13" t="s">
        <v>13</v>
      </c>
      <c r="D142" s="45"/>
      <c r="E142" s="35"/>
      <c r="F142" s="69"/>
      <c r="G142" s="14"/>
    </row>
    <row r="143" spans="2:7" ht="15.6" x14ac:dyDescent="0.3">
      <c r="B143" s="9"/>
      <c r="C143" s="9" t="s">
        <v>24</v>
      </c>
      <c r="D143" s="43">
        <v>0.2</v>
      </c>
      <c r="E143" s="24" t="s">
        <v>26</v>
      </c>
      <c r="F143" s="67">
        <v>100</v>
      </c>
      <c r="G143" s="10">
        <f>D143*F143</f>
        <v>20</v>
      </c>
    </row>
    <row r="144" spans="2:7" ht="15.6" customHeight="1" x14ac:dyDescent="0.3">
      <c r="B144" s="9"/>
      <c r="C144" s="30" t="s">
        <v>41</v>
      </c>
      <c r="D144" s="43">
        <v>1</v>
      </c>
      <c r="E144" s="24" t="s">
        <v>27</v>
      </c>
      <c r="F144" s="67">
        <v>14.52</v>
      </c>
      <c r="G144" s="10">
        <f t="shared" ref="G144:G146" si="3">D144*F144</f>
        <v>14.52</v>
      </c>
    </row>
    <row r="145" spans="1:7" ht="15.6" x14ac:dyDescent="0.3">
      <c r="B145" s="9"/>
      <c r="C145" s="30"/>
      <c r="D145" s="43"/>
      <c r="E145" s="24"/>
      <c r="F145" s="67"/>
      <c r="G145" s="10">
        <f t="shared" si="3"/>
        <v>0</v>
      </c>
    </row>
    <row r="146" spans="1:7" ht="15.6" x14ac:dyDescent="0.3">
      <c r="B146" s="9"/>
      <c r="C146" s="2" t="s">
        <v>29</v>
      </c>
      <c r="D146" s="43">
        <v>0.3</v>
      </c>
      <c r="E146" s="24" t="s">
        <v>28</v>
      </c>
      <c r="F146" s="67">
        <v>5000</v>
      </c>
      <c r="G146" s="10">
        <f t="shared" si="3"/>
        <v>1500</v>
      </c>
    </row>
    <row r="147" spans="1:7" ht="15.6" x14ac:dyDescent="0.3">
      <c r="B147" s="9"/>
      <c r="C147" s="2"/>
      <c r="D147" s="43"/>
      <c r="E147" s="24"/>
      <c r="F147" s="67"/>
      <c r="G147" s="10"/>
    </row>
    <row r="148" spans="1:7" ht="15.6" x14ac:dyDescent="0.3">
      <c r="B148" s="9"/>
      <c r="C148" s="25"/>
      <c r="D148" s="43"/>
      <c r="E148" s="24"/>
      <c r="F148" s="67"/>
      <c r="G148" s="10"/>
    </row>
    <row r="149" spans="1:7" ht="16.2" thickBot="1" x14ac:dyDescent="0.35">
      <c r="B149" s="9"/>
      <c r="C149" s="9" t="s">
        <v>14</v>
      </c>
      <c r="D149" s="43"/>
      <c r="E149" s="24"/>
      <c r="F149" s="67"/>
      <c r="G149" s="23">
        <f>SUM(G143:G148)</f>
        <v>1534.52</v>
      </c>
    </row>
    <row r="150" spans="1:7" ht="16.2" thickTop="1" x14ac:dyDescent="0.3">
      <c r="B150" s="9"/>
      <c r="C150" s="9"/>
      <c r="D150" s="43"/>
      <c r="E150" s="24"/>
      <c r="F150" s="67"/>
      <c r="G150" s="10"/>
    </row>
    <row r="151" spans="1:7" ht="15.6" x14ac:dyDescent="0.3">
      <c r="B151" s="15" t="s">
        <v>15</v>
      </c>
      <c r="C151" s="15" t="s">
        <v>16</v>
      </c>
      <c r="D151" s="46"/>
      <c r="E151" s="36"/>
      <c r="F151" s="70"/>
      <c r="G151" s="16">
        <f>G149+G140</f>
        <v>2034.52</v>
      </c>
    </row>
    <row r="152" spans="1:7" ht="15.6" x14ac:dyDescent="0.3">
      <c r="B152" s="9"/>
      <c r="C152" s="9"/>
      <c r="D152" s="43"/>
      <c r="E152" s="24"/>
      <c r="F152" s="67"/>
      <c r="G152" s="10"/>
    </row>
    <row r="153" spans="1:7" ht="15.6" x14ac:dyDescent="0.3">
      <c r="B153" s="9" t="s">
        <v>17</v>
      </c>
      <c r="C153" s="9" t="s">
        <v>32</v>
      </c>
      <c r="D153" s="43"/>
      <c r="E153" s="24"/>
      <c r="F153" s="67"/>
      <c r="G153" s="10">
        <f>G151/10</f>
        <v>203.452</v>
      </c>
    </row>
    <row r="154" spans="1:7" ht="15.6" x14ac:dyDescent="0.3">
      <c r="B154" s="9"/>
      <c r="C154" s="9"/>
      <c r="D154" s="43"/>
      <c r="E154" s="24"/>
      <c r="F154" s="67"/>
      <c r="G154" s="10"/>
    </row>
    <row r="155" spans="1:7" ht="15.6" x14ac:dyDescent="0.3">
      <c r="B155" s="17" t="s">
        <v>18</v>
      </c>
      <c r="C155" s="17" t="s">
        <v>19</v>
      </c>
      <c r="D155" s="47"/>
      <c r="E155" s="37"/>
      <c r="F155" s="71"/>
      <c r="G155" s="18">
        <f>SUM(G151+G153)</f>
        <v>2237.9719999999998</v>
      </c>
    </row>
    <row r="156" spans="1:7" ht="15.6" x14ac:dyDescent="0.3">
      <c r="B156" s="9"/>
      <c r="C156" s="9"/>
      <c r="D156" s="43"/>
      <c r="E156" s="24"/>
      <c r="F156" s="67"/>
      <c r="G156" s="10"/>
    </row>
    <row r="157" spans="1:7" ht="15.6" x14ac:dyDescent="0.3">
      <c r="B157" s="19"/>
      <c r="C157" s="19"/>
      <c r="D157" s="48"/>
      <c r="E157" s="38"/>
      <c r="F157" s="72"/>
      <c r="G157" s="20"/>
    </row>
    <row r="158" spans="1:7" ht="15.6" x14ac:dyDescent="0.3">
      <c r="B158" s="2"/>
      <c r="C158" s="2"/>
      <c r="D158" s="39"/>
      <c r="E158" s="21"/>
      <c r="F158" s="61"/>
      <c r="G158" s="2"/>
    </row>
    <row r="159" spans="1:7" ht="15.6" x14ac:dyDescent="0.3">
      <c r="A159" s="27" t="s">
        <v>76</v>
      </c>
      <c r="B159" s="60" t="s">
        <v>77</v>
      </c>
      <c r="C159" s="60"/>
      <c r="D159" s="60"/>
      <c r="E159" s="60"/>
      <c r="F159" s="74"/>
      <c r="G159" s="60"/>
    </row>
    <row r="160" spans="1:7" ht="15.6" customHeight="1" x14ac:dyDescent="0.3">
      <c r="B160" s="60"/>
      <c r="C160" s="60"/>
      <c r="D160" s="60"/>
      <c r="E160" s="60"/>
      <c r="F160" s="74"/>
      <c r="G160" s="60"/>
    </row>
    <row r="162" spans="2:7" ht="31.2" x14ac:dyDescent="0.3">
      <c r="B162" s="4" t="s">
        <v>0</v>
      </c>
      <c r="C162" s="4" t="s">
        <v>1</v>
      </c>
      <c r="D162" s="26" t="s">
        <v>2</v>
      </c>
      <c r="E162" s="4" t="s">
        <v>3</v>
      </c>
      <c r="F162" s="64" t="s">
        <v>4</v>
      </c>
      <c r="G162" s="4" t="s">
        <v>5</v>
      </c>
    </row>
    <row r="163" spans="2:7" ht="15.6" x14ac:dyDescent="0.3">
      <c r="B163" s="5"/>
      <c r="C163" s="5"/>
      <c r="D163" s="41"/>
      <c r="E163" s="32"/>
      <c r="F163" s="65"/>
      <c r="G163" s="6"/>
    </row>
    <row r="164" spans="2:7" ht="15.6" x14ac:dyDescent="0.3">
      <c r="B164" s="7" t="s">
        <v>6</v>
      </c>
      <c r="C164" s="7" t="s">
        <v>7</v>
      </c>
      <c r="D164" s="42"/>
      <c r="E164" s="33"/>
      <c r="F164" s="66"/>
      <c r="G164" s="8"/>
    </row>
    <row r="165" spans="2:7" ht="15.6" x14ac:dyDescent="0.3">
      <c r="B165" s="9"/>
      <c r="C165" s="9"/>
      <c r="D165" s="43"/>
      <c r="E165" s="24"/>
      <c r="F165" s="67"/>
      <c r="G165" s="10"/>
    </row>
    <row r="166" spans="2:7" x14ac:dyDescent="0.3">
      <c r="B166" s="9"/>
      <c r="C166" s="9" t="s">
        <v>30</v>
      </c>
      <c r="D166" s="43"/>
      <c r="E166" s="24"/>
      <c r="F166" s="67"/>
      <c r="G166" s="10">
        <f>SUM(G165:G165)</f>
        <v>0</v>
      </c>
    </row>
    <row r="167" spans="2:7" ht="15.6" x14ac:dyDescent="0.3">
      <c r="B167" s="9"/>
      <c r="C167" s="9" t="s">
        <v>31</v>
      </c>
      <c r="D167" s="43"/>
      <c r="E167" s="24"/>
      <c r="F167" s="67"/>
      <c r="G167" s="10">
        <f>G166/20</f>
        <v>0</v>
      </c>
    </row>
    <row r="168" spans="2:7" ht="16.2" thickBot="1" x14ac:dyDescent="0.35">
      <c r="B168" s="9"/>
      <c r="C168" s="9" t="s">
        <v>8</v>
      </c>
      <c r="D168" s="43"/>
      <c r="E168" s="24"/>
      <c r="F168" s="67"/>
      <c r="G168" s="23">
        <f>SUM(G166:G167)</f>
        <v>0</v>
      </c>
    </row>
    <row r="169" spans="2:7" ht="16.2" thickTop="1" x14ac:dyDescent="0.3">
      <c r="B169" s="9"/>
      <c r="C169" s="9"/>
      <c r="D169" s="43"/>
      <c r="E169" s="24"/>
      <c r="F169" s="67"/>
      <c r="G169" s="10"/>
    </row>
    <row r="170" spans="2:7" ht="15.6" x14ac:dyDescent="0.3">
      <c r="B170" s="11" t="s">
        <v>9</v>
      </c>
      <c r="C170" s="11" t="s">
        <v>10</v>
      </c>
      <c r="D170" s="44"/>
      <c r="E170" s="34"/>
      <c r="F170" s="68"/>
      <c r="G170" s="12"/>
    </row>
    <row r="171" spans="2:7" ht="15.6" x14ac:dyDescent="0.3">
      <c r="B171" s="9"/>
      <c r="C171" t="s">
        <v>22</v>
      </c>
      <c r="D171" s="43">
        <v>0.35</v>
      </c>
      <c r="E171" s="24" t="s">
        <v>23</v>
      </c>
      <c r="F171" s="67">
        <v>2500</v>
      </c>
      <c r="G171" s="10">
        <f>D171*F171</f>
        <v>875</v>
      </c>
    </row>
    <row r="172" spans="2:7" ht="15.6" x14ac:dyDescent="0.3">
      <c r="B172" s="9"/>
      <c r="C172" s="9"/>
      <c r="D172" s="43"/>
      <c r="E172" s="24"/>
      <c r="F172" s="67"/>
      <c r="G172" s="10"/>
    </row>
    <row r="173" spans="2:7" ht="15.6" x14ac:dyDescent="0.3">
      <c r="B173" s="9"/>
      <c r="C173" s="9"/>
      <c r="D173" s="43"/>
      <c r="E173" s="24"/>
      <c r="F173" s="67"/>
      <c r="G173" s="10"/>
    </row>
    <row r="174" spans="2:7" ht="16.2" thickBot="1" x14ac:dyDescent="0.35">
      <c r="B174" s="9"/>
      <c r="C174" s="9" t="s">
        <v>11</v>
      </c>
      <c r="D174" s="43"/>
      <c r="E174" s="24"/>
      <c r="F174" s="67"/>
      <c r="G174" s="23">
        <f>SUM(G171:G173)</f>
        <v>875</v>
      </c>
    </row>
    <row r="175" spans="2:7" ht="16.2" thickTop="1" x14ac:dyDescent="0.3">
      <c r="B175" s="9"/>
      <c r="C175" s="9"/>
      <c r="D175" s="43"/>
      <c r="E175" s="24"/>
      <c r="F175" s="67"/>
      <c r="G175" s="10"/>
    </row>
    <row r="176" spans="2:7" ht="15.6" x14ac:dyDescent="0.3">
      <c r="B176" s="13" t="s">
        <v>12</v>
      </c>
      <c r="C176" s="13" t="s">
        <v>13</v>
      </c>
      <c r="D176" s="45"/>
      <c r="E176" s="35"/>
      <c r="F176" s="69"/>
      <c r="G176" s="14"/>
    </row>
    <row r="177" spans="2:7" ht="15.6" customHeight="1" x14ac:dyDescent="0.3">
      <c r="B177" s="9"/>
      <c r="C177" s="9" t="s">
        <v>24</v>
      </c>
      <c r="D177" s="43">
        <v>0.35</v>
      </c>
      <c r="E177" s="24" t="s">
        <v>26</v>
      </c>
      <c r="F177" s="67">
        <v>100</v>
      </c>
      <c r="G177" s="10">
        <f>D177*F177</f>
        <v>35</v>
      </c>
    </row>
    <row r="178" spans="2:7" ht="31.2" x14ac:dyDescent="0.3">
      <c r="B178" s="9"/>
      <c r="C178" s="30" t="s">
        <v>41</v>
      </c>
      <c r="D178" s="43">
        <v>1</v>
      </c>
      <c r="E178" s="24" t="s">
        <v>27</v>
      </c>
      <c r="F178" s="67">
        <v>7.67</v>
      </c>
      <c r="G178" s="10">
        <f t="shared" ref="G178:G179" si="4">D178*F178</f>
        <v>7.67</v>
      </c>
    </row>
    <row r="179" spans="2:7" ht="15.6" x14ac:dyDescent="0.3">
      <c r="B179" s="9"/>
      <c r="C179" s="30"/>
      <c r="D179" s="43"/>
      <c r="E179" s="24"/>
      <c r="F179" s="67"/>
      <c r="G179" s="10">
        <f t="shared" si="4"/>
        <v>0</v>
      </c>
    </row>
    <row r="180" spans="2:7" ht="15.6" x14ac:dyDescent="0.3">
      <c r="B180" s="9"/>
      <c r="C180" s="2"/>
      <c r="D180" s="43"/>
      <c r="E180" s="24"/>
      <c r="F180" s="67"/>
      <c r="G180" s="10"/>
    </row>
    <row r="181" spans="2:7" ht="15.6" x14ac:dyDescent="0.3">
      <c r="B181" s="9"/>
      <c r="C181" s="2"/>
      <c r="D181" s="43"/>
      <c r="E181" s="24"/>
      <c r="F181" s="67"/>
      <c r="G181" s="10"/>
    </row>
    <row r="182" spans="2:7" ht="15.6" x14ac:dyDescent="0.3">
      <c r="B182" s="9"/>
      <c r="C182" s="25"/>
      <c r="D182" s="43"/>
      <c r="E182" s="24"/>
      <c r="F182" s="67"/>
      <c r="G182" s="10"/>
    </row>
    <row r="183" spans="2:7" ht="16.2" thickBot="1" x14ac:dyDescent="0.35">
      <c r="B183" s="9"/>
      <c r="C183" s="9" t="s">
        <v>14</v>
      </c>
      <c r="D183" s="43"/>
      <c r="E183" s="24"/>
      <c r="F183" s="67"/>
      <c r="G183" s="23">
        <f>SUM(G177:G182)</f>
        <v>42.67</v>
      </c>
    </row>
    <row r="184" spans="2:7" ht="16.2" thickTop="1" x14ac:dyDescent="0.3">
      <c r="B184" s="9"/>
      <c r="C184" s="9"/>
      <c r="D184" s="43"/>
      <c r="E184" s="24"/>
      <c r="F184" s="67"/>
      <c r="G184" s="10"/>
    </row>
    <row r="185" spans="2:7" ht="15.6" x14ac:dyDescent="0.3">
      <c r="B185" s="15" t="s">
        <v>15</v>
      </c>
      <c r="C185" s="15" t="s">
        <v>16</v>
      </c>
      <c r="D185" s="46"/>
      <c r="E185" s="36"/>
      <c r="F185" s="70"/>
      <c r="G185" s="16">
        <f>G183+G174</f>
        <v>917.67</v>
      </c>
    </row>
    <row r="186" spans="2:7" ht="15.6" x14ac:dyDescent="0.3">
      <c r="B186" s="9"/>
      <c r="C186" s="9"/>
      <c r="D186" s="43"/>
      <c r="E186" s="24"/>
      <c r="F186" s="67"/>
      <c r="G186" s="10"/>
    </row>
    <row r="187" spans="2:7" ht="15.6" x14ac:dyDescent="0.3">
      <c r="B187" s="9" t="s">
        <v>17</v>
      </c>
      <c r="C187" s="9" t="s">
        <v>32</v>
      </c>
      <c r="D187" s="43"/>
      <c r="E187" s="24"/>
      <c r="F187" s="67"/>
      <c r="G187" s="10">
        <f>G185/10</f>
        <v>91.766999999999996</v>
      </c>
    </row>
    <row r="188" spans="2:7" ht="15.6" x14ac:dyDescent="0.3">
      <c r="B188" s="9"/>
      <c r="C188" s="9"/>
      <c r="D188" s="43"/>
      <c r="E188" s="24"/>
      <c r="F188" s="67"/>
      <c r="G188" s="10"/>
    </row>
    <row r="189" spans="2:7" ht="15.6" x14ac:dyDescent="0.3">
      <c r="B189" s="17" t="s">
        <v>18</v>
      </c>
      <c r="C189" s="17" t="s">
        <v>19</v>
      </c>
      <c r="D189" s="47"/>
      <c r="E189" s="37"/>
      <c r="F189" s="71"/>
      <c r="G189" s="18">
        <f>SUM(G185+G187)</f>
        <v>1009.4369999999999</v>
      </c>
    </row>
    <row r="190" spans="2:7" ht="15.6" x14ac:dyDescent="0.3">
      <c r="B190" s="9"/>
      <c r="C190" s="9"/>
      <c r="D190" s="43"/>
      <c r="E190" s="24"/>
      <c r="F190" s="67"/>
      <c r="G190" s="10"/>
    </row>
    <row r="191" spans="2:7" ht="15.6" x14ac:dyDescent="0.3">
      <c r="B191" s="19"/>
      <c r="C191" s="19"/>
      <c r="D191" s="48"/>
      <c r="E191" s="38"/>
      <c r="F191" s="72"/>
      <c r="G191" s="20"/>
    </row>
    <row r="192" spans="2:7" ht="15.6" x14ac:dyDescent="0.3">
      <c r="B192" s="2"/>
      <c r="C192" s="2"/>
      <c r="D192" s="39"/>
      <c r="E192" s="21"/>
      <c r="F192" s="61"/>
      <c r="G192" s="2"/>
    </row>
    <row r="193" spans="1:7" ht="15.6" x14ac:dyDescent="0.3">
      <c r="B193" s="2"/>
      <c r="C193" s="27" t="s">
        <v>33</v>
      </c>
      <c r="D193" s="39"/>
      <c r="E193" s="21"/>
      <c r="F193" s="61"/>
      <c r="G193" s="2"/>
    </row>
    <row r="194" spans="1:7" ht="15.6" x14ac:dyDescent="0.3">
      <c r="B194" s="2"/>
      <c r="C194" s="2" t="s">
        <v>56</v>
      </c>
      <c r="D194" s="39"/>
      <c r="E194" s="21" t="s">
        <v>37</v>
      </c>
      <c r="F194" s="61">
        <v>500</v>
      </c>
      <c r="G194" s="2"/>
    </row>
    <row r="195" spans="1:7" ht="15.6" x14ac:dyDescent="0.3">
      <c r="B195" s="2"/>
      <c r="C195" s="2" t="s">
        <v>34</v>
      </c>
      <c r="D195" s="39"/>
      <c r="E195" s="21" t="s">
        <v>37</v>
      </c>
      <c r="F195" s="61">
        <v>2300</v>
      </c>
      <c r="G195" s="2"/>
    </row>
    <row r="196" spans="1:7" ht="15.6" x14ac:dyDescent="0.3">
      <c r="B196" s="2"/>
      <c r="C196" s="2"/>
      <c r="D196" s="39"/>
      <c r="E196" s="21"/>
      <c r="F196" s="61"/>
      <c r="G196" s="2"/>
    </row>
    <row r="197" spans="1:7" ht="15.6" x14ac:dyDescent="0.3">
      <c r="B197" s="2"/>
      <c r="C197" s="2" t="s">
        <v>35</v>
      </c>
      <c r="D197" s="39"/>
      <c r="E197" s="21" t="s">
        <v>37</v>
      </c>
      <c r="F197" s="61">
        <v>2800</v>
      </c>
      <c r="G197" s="2"/>
    </row>
    <row r="198" spans="1:7" ht="15.6" x14ac:dyDescent="0.3">
      <c r="B198" s="2"/>
      <c r="C198" s="2"/>
      <c r="D198" s="39"/>
      <c r="E198" s="21"/>
      <c r="F198" s="61"/>
      <c r="G198" s="2"/>
    </row>
    <row r="199" spans="1:7" ht="15.6" x14ac:dyDescent="0.3">
      <c r="B199" s="2"/>
      <c r="C199" s="55" t="s">
        <v>36</v>
      </c>
      <c r="D199" s="49"/>
      <c r="E199" s="21" t="s">
        <v>38</v>
      </c>
      <c r="F199" s="61">
        <v>365</v>
      </c>
      <c r="G199" s="2"/>
    </row>
    <row r="200" spans="1:7" ht="15.6" x14ac:dyDescent="0.3">
      <c r="B200" s="2"/>
      <c r="C200" s="55"/>
      <c r="D200" s="49"/>
      <c r="E200" s="21"/>
      <c r="F200" s="61"/>
      <c r="G200" s="2"/>
    </row>
    <row r="201" spans="1:7" ht="15.6" x14ac:dyDescent="0.3">
      <c r="B201" s="2"/>
      <c r="C201" s="2"/>
      <c r="D201" s="39"/>
      <c r="E201" s="21"/>
      <c r="F201" s="61"/>
      <c r="G201" s="2"/>
    </row>
    <row r="202" spans="1:7" ht="15.6" x14ac:dyDescent="0.3">
      <c r="C202" s="2" t="s">
        <v>39</v>
      </c>
      <c r="D202" s="39"/>
      <c r="E202" s="21" t="s">
        <v>37</v>
      </c>
      <c r="F202" s="73">
        <f>F197/F199</f>
        <v>7.6712328767123283</v>
      </c>
    </row>
    <row r="203" spans="1:7" ht="15.6" customHeight="1" x14ac:dyDescent="0.3">
      <c r="A203" s="27">
        <v>5.6</v>
      </c>
    </row>
    <row r="204" spans="1:7" ht="14.4" customHeight="1" x14ac:dyDescent="0.3">
      <c r="B204" s="56" t="s">
        <v>42</v>
      </c>
      <c r="C204" s="56"/>
      <c r="D204" s="56"/>
      <c r="E204" s="56"/>
      <c r="F204" s="56"/>
      <c r="G204" s="56"/>
    </row>
    <row r="205" spans="1:7" ht="15.6" customHeight="1" x14ac:dyDescent="0.3">
      <c r="B205" s="56"/>
      <c r="C205" s="56"/>
      <c r="D205" s="56"/>
      <c r="E205" s="56"/>
      <c r="F205" s="56"/>
      <c r="G205" s="56"/>
    </row>
    <row r="206" spans="1:7" x14ac:dyDescent="0.3">
      <c r="B206" s="56"/>
      <c r="C206" s="56"/>
      <c r="D206" s="56"/>
      <c r="E206" s="56"/>
      <c r="F206" s="56"/>
      <c r="G206" s="56"/>
    </row>
    <row r="208" spans="1:7" ht="31.2" x14ac:dyDescent="0.3">
      <c r="B208" s="4" t="s">
        <v>0</v>
      </c>
      <c r="C208" s="4" t="s">
        <v>1</v>
      </c>
      <c r="D208" s="26" t="s">
        <v>2</v>
      </c>
      <c r="E208" s="4" t="s">
        <v>3</v>
      </c>
      <c r="F208" s="64" t="s">
        <v>4</v>
      </c>
      <c r="G208" s="4" t="s">
        <v>5</v>
      </c>
    </row>
    <row r="209" spans="2:7" ht="15.6" x14ac:dyDescent="0.3">
      <c r="B209" s="5"/>
      <c r="C209" s="5"/>
      <c r="D209" s="41"/>
      <c r="E209" s="32"/>
      <c r="F209" s="65"/>
      <c r="G209" s="6"/>
    </row>
    <row r="210" spans="2:7" ht="15.6" x14ac:dyDescent="0.3">
      <c r="B210" s="7" t="s">
        <v>6</v>
      </c>
      <c r="C210" s="7" t="s">
        <v>7</v>
      </c>
      <c r="D210" s="42"/>
      <c r="E210" s="33"/>
      <c r="F210" s="66"/>
      <c r="G210" s="8"/>
    </row>
    <row r="211" spans="2:7" ht="15.6" x14ac:dyDescent="0.3">
      <c r="B211" s="9"/>
      <c r="C211" s="9"/>
      <c r="D211" s="43"/>
      <c r="E211" s="24"/>
      <c r="F211" s="67"/>
      <c r="G211" s="10"/>
    </row>
    <row r="212" spans="2:7" ht="15.6" x14ac:dyDescent="0.3">
      <c r="B212" s="9"/>
      <c r="C212" s="9" t="s">
        <v>30</v>
      </c>
      <c r="D212" s="43"/>
      <c r="E212" s="24"/>
      <c r="F212" s="67"/>
      <c r="G212" s="10">
        <f>SUM(G211:G211)</f>
        <v>0</v>
      </c>
    </row>
    <row r="213" spans="2:7" ht="15.6" x14ac:dyDescent="0.3">
      <c r="B213" s="9"/>
      <c r="C213" s="9" t="s">
        <v>31</v>
      </c>
      <c r="D213" s="43"/>
      <c r="E213" s="24"/>
      <c r="F213" s="67"/>
      <c r="G213" s="10">
        <f>G212/20</f>
        <v>0</v>
      </c>
    </row>
    <row r="214" spans="2:7" ht="16.2" thickBot="1" x14ac:dyDescent="0.35">
      <c r="B214" s="9"/>
      <c r="C214" s="9" t="s">
        <v>8</v>
      </c>
      <c r="D214" s="43"/>
      <c r="E214" s="24"/>
      <c r="F214" s="67"/>
      <c r="G214" s="23">
        <f>SUM(G212:G213)</f>
        <v>0</v>
      </c>
    </row>
    <row r="215" spans="2:7" ht="16.2" thickTop="1" x14ac:dyDescent="0.3">
      <c r="B215" s="9"/>
      <c r="C215" s="9"/>
      <c r="D215" s="43"/>
      <c r="E215" s="24"/>
      <c r="F215" s="67"/>
      <c r="G215" s="10"/>
    </row>
    <row r="216" spans="2:7" ht="15.6" x14ac:dyDescent="0.3">
      <c r="B216" s="11" t="s">
        <v>9</v>
      </c>
      <c r="C216" s="11" t="s">
        <v>10</v>
      </c>
      <c r="D216" s="44"/>
      <c r="E216" s="34"/>
      <c r="F216" s="68"/>
      <c r="G216" s="12"/>
    </row>
    <row r="217" spans="2:7" ht="15.6" x14ac:dyDescent="0.3">
      <c r="B217" s="9"/>
      <c r="C217" t="s">
        <v>22</v>
      </c>
      <c r="D217" s="43">
        <v>0.08</v>
      </c>
      <c r="E217" s="24" t="s">
        <v>23</v>
      </c>
      <c r="F217" s="67">
        <v>2500</v>
      </c>
      <c r="G217" s="10">
        <f>D217*F217</f>
        <v>200</v>
      </c>
    </row>
    <row r="218" spans="2:7" ht="15.6" x14ac:dyDescent="0.3">
      <c r="B218" s="9"/>
      <c r="C218" s="9"/>
      <c r="D218" s="43"/>
      <c r="E218" s="24"/>
      <c r="F218" s="67"/>
      <c r="G218" s="10"/>
    </row>
    <row r="219" spans="2:7" ht="15.6" x14ac:dyDescent="0.3">
      <c r="B219" s="9"/>
      <c r="C219" s="9"/>
      <c r="D219" s="43"/>
      <c r="E219" s="24"/>
      <c r="F219" s="67"/>
      <c r="G219" s="10"/>
    </row>
    <row r="220" spans="2:7" ht="16.2" thickBot="1" x14ac:dyDescent="0.35">
      <c r="B220" s="9"/>
      <c r="C220" s="9" t="s">
        <v>11</v>
      </c>
      <c r="D220" s="43"/>
      <c r="E220" s="24"/>
      <c r="F220" s="67"/>
      <c r="G220" s="23">
        <f>SUM(G217:G219)</f>
        <v>200</v>
      </c>
    </row>
    <row r="221" spans="2:7" ht="16.2" thickTop="1" x14ac:dyDescent="0.3">
      <c r="B221" s="9"/>
      <c r="C221" s="9"/>
      <c r="D221" s="43"/>
      <c r="E221" s="24"/>
      <c r="F221" s="67"/>
      <c r="G221" s="10"/>
    </row>
    <row r="222" spans="2:7" ht="15.6" x14ac:dyDescent="0.3">
      <c r="B222" s="13" t="s">
        <v>12</v>
      </c>
      <c r="C222" s="13" t="s">
        <v>13</v>
      </c>
      <c r="D222" s="45"/>
      <c r="E222" s="35"/>
      <c r="F222" s="69"/>
      <c r="G222" s="14"/>
    </row>
    <row r="223" spans="2:7" ht="15.6" customHeight="1" x14ac:dyDescent="0.3">
      <c r="B223" s="9"/>
      <c r="C223" s="9" t="s">
        <v>43</v>
      </c>
      <c r="D223" s="43">
        <v>0.05</v>
      </c>
      <c r="E223" s="24" t="s">
        <v>26</v>
      </c>
      <c r="F223" s="67">
        <v>1500</v>
      </c>
      <c r="G223" s="10">
        <f>D223*F223</f>
        <v>75</v>
      </c>
    </row>
    <row r="224" spans="2:7" ht="31.2" x14ac:dyDescent="0.3">
      <c r="B224" s="9"/>
      <c r="C224" s="30" t="s">
        <v>41</v>
      </c>
      <c r="D224" s="43">
        <v>1</v>
      </c>
      <c r="E224" s="24" t="s">
        <v>27</v>
      </c>
      <c r="F224" s="67">
        <v>7.67</v>
      </c>
      <c r="G224" s="10">
        <f t="shared" ref="G224:G225" si="5">D224*F224</f>
        <v>7.67</v>
      </c>
    </row>
    <row r="225" spans="2:7" ht="15.6" x14ac:dyDescent="0.3">
      <c r="B225" s="9"/>
      <c r="C225" s="30"/>
      <c r="D225" s="43"/>
      <c r="E225" s="24"/>
      <c r="F225" s="67"/>
      <c r="G225" s="10">
        <f t="shared" si="5"/>
        <v>0</v>
      </c>
    </row>
    <row r="226" spans="2:7" ht="15.6" x14ac:dyDescent="0.3">
      <c r="B226" s="9"/>
      <c r="C226" s="2"/>
      <c r="D226" s="43"/>
      <c r="E226" s="24"/>
      <c r="F226" s="67"/>
      <c r="G226" s="10"/>
    </row>
    <row r="227" spans="2:7" ht="15.6" x14ac:dyDescent="0.3">
      <c r="B227" s="9"/>
      <c r="C227" s="2"/>
      <c r="D227" s="43"/>
      <c r="E227" s="24"/>
      <c r="F227" s="67"/>
      <c r="G227" s="10"/>
    </row>
    <row r="228" spans="2:7" ht="15.6" x14ac:dyDescent="0.3">
      <c r="B228" s="9"/>
      <c r="C228" s="25"/>
      <c r="D228" s="43"/>
      <c r="E228" s="24"/>
      <c r="F228" s="67"/>
      <c r="G228" s="10"/>
    </row>
    <row r="229" spans="2:7" ht="16.2" thickBot="1" x14ac:dyDescent="0.35">
      <c r="B229" s="9"/>
      <c r="C229" s="9" t="s">
        <v>14</v>
      </c>
      <c r="D229" s="43"/>
      <c r="E229" s="24"/>
      <c r="F229" s="67"/>
      <c r="G229" s="23">
        <f>SUM(G223:G228)</f>
        <v>82.67</v>
      </c>
    </row>
    <row r="230" spans="2:7" ht="16.2" thickTop="1" x14ac:dyDescent="0.3">
      <c r="B230" s="9"/>
      <c r="C230" s="9"/>
      <c r="D230" s="43"/>
      <c r="E230" s="24"/>
      <c r="F230" s="67"/>
      <c r="G230" s="10"/>
    </row>
    <row r="231" spans="2:7" ht="15.6" x14ac:dyDescent="0.3">
      <c r="B231" s="15" t="s">
        <v>15</v>
      </c>
      <c r="C231" s="15" t="s">
        <v>16</v>
      </c>
      <c r="D231" s="46"/>
      <c r="E231" s="36"/>
      <c r="F231" s="70"/>
      <c r="G231" s="16">
        <f>G229+G220</f>
        <v>282.67</v>
      </c>
    </row>
    <row r="232" spans="2:7" ht="15.6" x14ac:dyDescent="0.3">
      <c r="B232" s="9"/>
      <c r="C232" s="9"/>
      <c r="D232" s="43"/>
      <c r="E232" s="24"/>
      <c r="F232" s="67"/>
      <c r="G232" s="10"/>
    </row>
    <row r="233" spans="2:7" ht="15.6" x14ac:dyDescent="0.3">
      <c r="B233" s="9" t="s">
        <v>17</v>
      </c>
      <c r="C233" s="9" t="s">
        <v>32</v>
      </c>
      <c r="D233" s="43"/>
      <c r="E233" s="24"/>
      <c r="F233" s="67"/>
      <c r="G233" s="10">
        <f>G231/10</f>
        <v>28.267000000000003</v>
      </c>
    </row>
    <row r="234" spans="2:7" ht="15.6" x14ac:dyDescent="0.3">
      <c r="B234" s="9"/>
      <c r="C234" s="9"/>
      <c r="D234" s="43"/>
      <c r="E234" s="24"/>
      <c r="F234" s="67"/>
      <c r="G234" s="10"/>
    </row>
    <row r="235" spans="2:7" ht="15.6" x14ac:dyDescent="0.3">
      <c r="B235" s="17" t="s">
        <v>18</v>
      </c>
      <c r="C235" s="17" t="s">
        <v>19</v>
      </c>
      <c r="D235" s="47"/>
      <c r="E235" s="37"/>
      <c r="F235" s="71"/>
      <c r="G235" s="18">
        <f>SUM(G231+G233)</f>
        <v>310.93700000000001</v>
      </c>
    </row>
    <row r="236" spans="2:7" ht="15.6" x14ac:dyDescent="0.3">
      <c r="B236" s="9"/>
      <c r="C236" s="9"/>
      <c r="D236" s="43"/>
      <c r="E236" s="24"/>
      <c r="F236" s="67"/>
      <c r="G236" s="10"/>
    </row>
    <row r="237" spans="2:7" ht="15.6" x14ac:dyDescent="0.3">
      <c r="B237" s="19"/>
      <c r="C237" s="19"/>
      <c r="D237" s="48"/>
      <c r="E237" s="38"/>
      <c r="F237" s="72"/>
      <c r="G237" s="20"/>
    </row>
    <row r="238" spans="2:7" ht="15.6" x14ac:dyDescent="0.3">
      <c r="B238" s="2"/>
      <c r="C238" s="2"/>
      <c r="D238" s="39"/>
      <c r="E238" s="21"/>
      <c r="F238" s="61"/>
      <c r="G238" s="2"/>
    </row>
    <row r="239" spans="2:7" ht="15.6" x14ac:dyDescent="0.3">
      <c r="B239" s="2"/>
      <c r="C239" s="27" t="s">
        <v>33</v>
      </c>
      <c r="D239" s="39"/>
      <c r="E239" s="21"/>
      <c r="F239" s="61"/>
      <c r="G239" s="2"/>
    </row>
    <row r="240" spans="2:7" ht="15.6" x14ac:dyDescent="0.3">
      <c r="B240" s="2"/>
      <c r="C240" s="2" t="s">
        <v>57</v>
      </c>
      <c r="D240" s="39"/>
      <c r="E240" s="21" t="s">
        <v>37</v>
      </c>
      <c r="F240" s="61">
        <v>500</v>
      </c>
      <c r="G240" s="2"/>
    </row>
    <row r="241" spans="1:7" ht="15.6" x14ac:dyDescent="0.3">
      <c r="B241" s="2"/>
      <c r="C241" s="2" t="s">
        <v>34</v>
      </c>
      <c r="D241" s="39"/>
      <c r="E241" s="21" t="s">
        <v>37</v>
      </c>
      <c r="F241" s="61">
        <v>2300</v>
      </c>
      <c r="G241" s="2"/>
    </row>
    <row r="242" spans="1:7" ht="15.6" x14ac:dyDescent="0.3">
      <c r="B242" s="2"/>
      <c r="C242" s="2"/>
      <c r="D242" s="39"/>
      <c r="E242" s="21"/>
      <c r="F242" s="61"/>
      <c r="G242" s="2"/>
    </row>
    <row r="243" spans="1:7" ht="15.6" x14ac:dyDescent="0.3">
      <c r="B243" s="2"/>
      <c r="C243" s="2" t="s">
        <v>35</v>
      </c>
      <c r="D243" s="39"/>
      <c r="E243" s="21" t="s">
        <v>37</v>
      </c>
      <c r="F243" s="61">
        <v>2800</v>
      </c>
      <c r="G243" s="2"/>
    </row>
    <row r="244" spans="1:7" ht="15.6" x14ac:dyDescent="0.3">
      <c r="B244" s="2"/>
      <c r="C244" s="2"/>
      <c r="D244" s="39"/>
      <c r="E244" s="21"/>
      <c r="F244" s="61"/>
      <c r="G244" s="2"/>
    </row>
    <row r="245" spans="1:7" ht="15.6" x14ac:dyDescent="0.3">
      <c r="B245" s="2"/>
      <c r="C245" s="55" t="s">
        <v>36</v>
      </c>
      <c r="D245" s="49"/>
      <c r="E245" s="21" t="s">
        <v>38</v>
      </c>
      <c r="F245" s="61">
        <v>365</v>
      </c>
      <c r="G245" s="2"/>
    </row>
    <row r="246" spans="1:7" ht="15.6" x14ac:dyDescent="0.3">
      <c r="B246" s="2"/>
      <c r="C246" s="55"/>
      <c r="D246" s="49"/>
      <c r="E246" s="21"/>
      <c r="F246" s="61"/>
      <c r="G246" s="2"/>
    </row>
    <row r="247" spans="1:7" ht="15.6" x14ac:dyDescent="0.3">
      <c r="B247" s="2"/>
      <c r="C247" s="2"/>
      <c r="D247" s="39"/>
      <c r="E247" s="21"/>
      <c r="F247" s="61"/>
      <c r="G247" s="2"/>
    </row>
    <row r="248" spans="1:7" ht="15.6" x14ac:dyDescent="0.3">
      <c r="C248" s="2" t="s">
        <v>39</v>
      </c>
      <c r="D248" s="39"/>
      <c r="E248" s="21" t="s">
        <v>37</v>
      </c>
      <c r="F248" s="73">
        <f>F243/F245</f>
        <v>7.6712328767123283</v>
      </c>
    </row>
    <row r="249" spans="1:7" ht="15.6" x14ac:dyDescent="0.3">
      <c r="A249" s="27">
        <v>5.7</v>
      </c>
    </row>
    <row r="250" spans="1:7" x14ac:dyDescent="0.3">
      <c r="B250" s="56" t="s">
        <v>40</v>
      </c>
      <c r="C250" s="56"/>
      <c r="D250" s="56"/>
      <c r="E250" s="56"/>
      <c r="F250" s="56"/>
      <c r="G250" s="56"/>
    </row>
    <row r="251" spans="1:7" x14ac:dyDescent="0.3">
      <c r="B251" s="56"/>
      <c r="C251" s="56"/>
      <c r="D251" s="56"/>
      <c r="E251" s="56"/>
      <c r="F251" s="56"/>
      <c r="G251" s="56"/>
    </row>
    <row r="253" spans="1:7" ht="31.2" x14ac:dyDescent="0.3">
      <c r="B253" s="4" t="s">
        <v>0</v>
      </c>
      <c r="C253" s="4" t="s">
        <v>1</v>
      </c>
      <c r="D253" s="26" t="s">
        <v>2</v>
      </c>
      <c r="E253" s="4" t="s">
        <v>3</v>
      </c>
      <c r="F253" s="64" t="s">
        <v>4</v>
      </c>
      <c r="G253" s="4" t="s">
        <v>5</v>
      </c>
    </row>
    <row r="254" spans="1:7" ht="15.6" x14ac:dyDescent="0.3">
      <c r="B254" s="5"/>
      <c r="C254" s="5"/>
      <c r="D254" s="41"/>
      <c r="E254" s="32"/>
      <c r="F254" s="65"/>
      <c r="G254" s="6"/>
    </row>
    <row r="255" spans="1:7" ht="15.6" x14ac:dyDescent="0.3">
      <c r="B255" s="7" t="s">
        <v>6</v>
      </c>
      <c r="C255" s="7" t="s">
        <v>7</v>
      </c>
      <c r="D255" s="42"/>
      <c r="E255" s="33"/>
      <c r="F255" s="66"/>
      <c r="G255" s="8"/>
    </row>
    <row r="256" spans="1:7" ht="15.6" x14ac:dyDescent="0.3">
      <c r="B256" s="9"/>
      <c r="C256" s="9"/>
      <c r="D256" s="43"/>
      <c r="E256" s="24"/>
      <c r="F256" s="67"/>
      <c r="G256" s="10"/>
    </row>
    <row r="257" spans="2:7" ht="15.6" x14ac:dyDescent="0.3">
      <c r="B257" s="9"/>
      <c r="C257" s="9" t="s">
        <v>44</v>
      </c>
      <c r="D257" s="43">
        <v>1</v>
      </c>
      <c r="E257" s="24" t="s">
        <v>45</v>
      </c>
      <c r="F257" s="67">
        <v>20000</v>
      </c>
      <c r="G257" s="10">
        <f>D257*F257</f>
        <v>20000</v>
      </c>
    </row>
    <row r="258" spans="2:7" ht="15.6" x14ac:dyDescent="0.3">
      <c r="B258" s="9"/>
      <c r="C258" s="9"/>
      <c r="D258" s="43"/>
      <c r="E258" s="24"/>
      <c r="F258" s="67"/>
      <c r="G258" s="10"/>
    </row>
    <row r="259" spans="2:7" ht="15.6" x14ac:dyDescent="0.3">
      <c r="B259" s="9"/>
      <c r="C259" s="9"/>
      <c r="D259" s="43"/>
      <c r="E259" s="24"/>
      <c r="F259" s="67"/>
      <c r="G259" s="10"/>
    </row>
    <row r="260" spans="2:7" ht="15.6" x14ac:dyDescent="0.3">
      <c r="B260" s="9"/>
      <c r="C260" s="9" t="s">
        <v>30</v>
      </c>
      <c r="D260" s="43"/>
      <c r="E260" s="24"/>
      <c r="F260" s="67"/>
      <c r="G260" s="10">
        <f>SUM(G256:G259)</f>
        <v>20000</v>
      </c>
    </row>
    <row r="261" spans="2:7" ht="15.6" x14ac:dyDescent="0.3">
      <c r="B261" s="9"/>
      <c r="C261" s="9" t="s">
        <v>31</v>
      </c>
      <c r="D261" s="43"/>
      <c r="E261" s="24"/>
      <c r="F261" s="67"/>
      <c r="G261" s="10">
        <f>G260/20</f>
        <v>1000</v>
      </c>
    </row>
    <row r="262" spans="2:7" ht="16.2" thickBot="1" x14ac:dyDescent="0.35">
      <c r="B262" s="9"/>
      <c r="C262" s="9" t="s">
        <v>8</v>
      </c>
      <c r="D262" s="43"/>
      <c r="E262" s="24"/>
      <c r="F262" s="67"/>
      <c r="G262" s="23">
        <f>SUM(G260:G261)</f>
        <v>21000</v>
      </c>
    </row>
    <row r="263" spans="2:7" ht="16.2" thickTop="1" x14ac:dyDescent="0.3">
      <c r="B263" s="9"/>
      <c r="C263" s="9"/>
      <c r="D263" s="43"/>
      <c r="E263" s="24"/>
      <c r="F263" s="67"/>
      <c r="G263" s="10"/>
    </row>
    <row r="264" spans="2:7" ht="15.6" x14ac:dyDescent="0.3">
      <c r="B264" s="11" t="s">
        <v>9</v>
      </c>
      <c r="C264" s="11" t="s">
        <v>10</v>
      </c>
      <c r="D264" s="44"/>
      <c r="E264" s="34"/>
      <c r="F264" s="68"/>
      <c r="G264" s="12"/>
    </row>
    <row r="265" spans="2:7" ht="15.6" x14ac:dyDescent="0.3">
      <c r="B265" s="9"/>
      <c r="C265" t="s">
        <v>22</v>
      </c>
      <c r="D265" s="43">
        <v>0.7</v>
      </c>
      <c r="E265" s="24" t="s">
        <v>23</v>
      </c>
      <c r="F265" s="67">
        <v>2500</v>
      </c>
      <c r="G265" s="10">
        <f>D265*F265</f>
        <v>1750</v>
      </c>
    </row>
    <row r="266" spans="2:7" ht="15.6" x14ac:dyDescent="0.3">
      <c r="B266" s="9"/>
      <c r="C266" s="9"/>
      <c r="D266" s="43"/>
      <c r="E266" s="24"/>
      <c r="F266" s="67"/>
      <c r="G266" s="10"/>
    </row>
    <row r="267" spans="2:7" ht="15.6" x14ac:dyDescent="0.3">
      <c r="B267" s="9"/>
      <c r="C267" s="9"/>
      <c r="D267" s="43"/>
      <c r="E267" s="24"/>
      <c r="F267" s="67"/>
      <c r="G267" s="10"/>
    </row>
    <row r="268" spans="2:7" ht="16.2" thickBot="1" x14ac:dyDescent="0.35">
      <c r="B268" s="9"/>
      <c r="C268" s="9" t="s">
        <v>11</v>
      </c>
      <c r="D268" s="43"/>
      <c r="E268" s="24"/>
      <c r="F268" s="67"/>
      <c r="G268" s="23">
        <f>SUM(G265:G267)</f>
        <v>1750</v>
      </c>
    </row>
    <row r="269" spans="2:7" ht="16.2" thickTop="1" x14ac:dyDescent="0.3">
      <c r="B269" s="9"/>
      <c r="C269" s="9"/>
      <c r="D269" s="43"/>
      <c r="E269" s="24"/>
      <c r="F269" s="67"/>
      <c r="G269" s="10"/>
    </row>
    <row r="270" spans="2:7" ht="15.6" x14ac:dyDescent="0.3">
      <c r="B270" s="13" t="s">
        <v>12</v>
      </c>
      <c r="C270" s="13" t="s">
        <v>13</v>
      </c>
      <c r="D270" s="45"/>
      <c r="E270" s="35"/>
      <c r="F270" s="69"/>
      <c r="G270" s="14"/>
    </row>
    <row r="271" spans="2:7" ht="15.6" x14ac:dyDescent="0.3">
      <c r="B271" s="9"/>
      <c r="C271" s="9" t="s">
        <v>24</v>
      </c>
      <c r="D271" s="43">
        <v>7.0000000000000007E-2</v>
      </c>
      <c r="E271" s="24" t="s">
        <v>26</v>
      </c>
      <c r="F271" s="67">
        <v>100</v>
      </c>
      <c r="G271" s="10">
        <f>D271*F271</f>
        <v>7.0000000000000009</v>
      </c>
    </row>
    <row r="272" spans="2:7" ht="15.6" customHeight="1" x14ac:dyDescent="0.3">
      <c r="B272" s="9"/>
      <c r="C272" s="9" t="s">
        <v>43</v>
      </c>
      <c r="D272" s="43">
        <v>0.08</v>
      </c>
      <c r="E272" s="24" t="s">
        <v>26</v>
      </c>
      <c r="F272" s="67">
        <v>1500</v>
      </c>
      <c r="G272" s="10">
        <f t="shared" ref="G272:G273" si="6">D272*F272</f>
        <v>120</v>
      </c>
    </row>
    <row r="273" spans="2:7" ht="31.2" x14ac:dyDescent="0.3">
      <c r="B273" s="9"/>
      <c r="C273" s="30" t="s">
        <v>41</v>
      </c>
      <c r="D273" s="43">
        <v>1</v>
      </c>
      <c r="E273" s="24" t="s">
        <v>27</v>
      </c>
      <c r="F273" s="67">
        <v>7.67</v>
      </c>
      <c r="G273" s="10">
        <f t="shared" si="6"/>
        <v>7.67</v>
      </c>
    </row>
    <row r="274" spans="2:7" ht="15.6" x14ac:dyDescent="0.3">
      <c r="B274" s="9"/>
      <c r="C274" s="30"/>
      <c r="D274" s="43"/>
      <c r="E274" s="24"/>
      <c r="F274" s="67"/>
      <c r="G274" s="10"/>
    </row>
    <row r="275" spans="2:7" ht="15.6" x14ac:dyDescent="0.3">
      <c r="B275" s="9"/>
      <c r="C275" s="2"/>
      <c r="D275" s="43"/>
      <c r="E275" s="24"/>
      <c r="F275" s="67"/>
      <c r="G275" s="10"/>
    </row>
    <row r="276" spans="2:7" ht="15.6" x14ac:dyDescent="0.3">
      <c r="B276" s="9"/>
      <c r="C276" s="2"/>
      <c r="D276" s="43"/>
      <c r="E276" s="24"/>
      <c r="F276" s="67"/>
      <c r="G276" s="10"/>
    </row>
    <row r="277" spans="2:7" ht="15.6" x14ac:dyDescent="0.3">
      <c r="B277" s="9"/>
      <c r="C277" s="25"/>
      <c r="D277" s="43"/>
      <c r="E277" s="24"/>
      <c r="F277" s="67"/>
      <c r="G277" s="10"/>
    </row>
    <row r="278" spans="2:7" ht="16.2" thickBot="1" x14ac:dyDescent="0.35">
      <c r="B278" s="9"/>
      <c r="C278" s="9" t="s">
        <v>14</v>
      </c>
      <c r="D278" s="43"/>
      <c r="E278" s="24"/>
      <c r="F278" s="67"/>
      <c r="G278" s="23">
        <f>SUM(G271:G277)</f>
        <v>134.66999999999999</v>
      </c>
    </row>
    <row r="279" spans="2:7" ht="16.2" thickTop="1" x14ac:dyDescent="0.3">
      <c r="B279" s="9"/>
      <c r="C279" s="9"/>
      <c r="D279" s="43"/>
      <c r="E279" s="24"/>
      <c r="F279" s="67"/>
      <c r="G279" s="10"/>
    </row>
    <row r="280" spans="2:7" ht="15.6" x14ac:dyDescent="0.3">
      <c r="B280" s="15" t="s">
        <v>15</v>
      </c>
      <c r="C280" s="15" t="s">
        <v>16</v>
      </c>
      <c r="D280" s="46"/>
      <c r="E280" s="36"/>
      <c r="F280" s="70"/>
      <c r="G280" s="16">
        <f>G278+G268+G262</f>
        <v>22884.67</v>
      </c>
    </row>
    <row r="281" spans="2:7" ht="15.6" x14ac:dyDescent="0.3">
      <c r="B281" s="9"/>
      <c r="C281" s="9"/>
      <c r="D281" s="43"/>
      <c r="E281" s="24"/>
      <c r="F281" s="67"/>
      <c r="G281" s="10"/>
    </row>
    <row r="282" spans="2:7" ht="15.6" x14ac:dyDescent="0.3">
      <c r="B282" s="9" t="s">
        <v>17</v>
      </c>
      <c r="C282" s="9" t="s">
        <v>32</v>
      </c>
      <c r="D282" s="43"/>
      <c r="E282" s="24"/>
      <c r="F282" s="67"/>
      <c r="G282" s="10">
        <f>G280/10</f>
        <v>2288.4669999999996</v>
      </c>
    </row>
    <row r="283" spans="2:7" ht="15.6" x14ac:dyDescent="0.3">
      <c r="B283" s="9"/>
      <c r="C283" s="9"/>
      <c r="D283" s="43"/>
      <c r="E283" s="24"/>
      <c r="F283" s="67"/>
      <c r="G283" s="10"/>
    </row>
    <row r="284" spans="2:7" ht="15.6" x14ac:dyDescent="0.3">
      <c r="B284" s="17" t="s">
        <v>18</v>
      </c>
      <c r="C284" s="17" t="s">
        <v>19</v>
      </c>
      <c r="D284" s="47"/>
      <c r="E284" s="37"/>
      <c r="F284" s="71"/>
      <c r="G284" s="18">
        <f>SUM(G280+G282)</f>
        <v>25173.136999999999</v>
      </c>
    </row>
    <row r="285" spans="2:7" ht="15.6" x14ac:dyDescent="0.3">
      <c r="B285" s="9"/>
      <c r="C285" s="9"/>
      <c r="D285" s="43"/>
      <c r="E285" s="24"/>
      <c r="F285" s="67"/>
      <c r="G285" s="10"/>
    </row>
    <row r="286" spans="2:7" ht="15.6" x14ac:dyDescent="0.3">
      <c r="B286" s="19"/>
      <c r="C286" s="19"/>
      <c r="D286" s="48"/>
      <c r="E286" s="38"/>
      <c r="F286" s="72"/>
      <c r="G286" s="20"/>
    </row>
    <row r="287" spans="2:7" ht="15.6" x14ac:dyDescent="0.3">
      <c r="B287" s="2"/>
      <c r="C287" s="2"/>
      <c r="D287" s="39"/>
      <c r="E287" s="21"/>
      <c r="F287" s="61"/>
      <c r="G287" s="2"/>
    </row>
    <row r="288" spans="2:7" ht="15.6" x14ac:dyDescent="0.3">
      <c r="B288" s="2"/>
      <c r="C288" s="27" t="s">
        <v>33</v>
      </c>
      <c r="D288" s="39"/>
      <c r="E288" s="21"/>
      <c r="F288" s="61"/>
      <c r="G288" s="2"/>
    </row>
    <row r="289" spans="1:7" ht="15.6" x14ac:dyDescent="0.3">
      <c r="B289" s="2"/>
      <c r="C289" s="2" t="s">
        <v>57</v>
      </c>
      <c r="D289" s="39"/>
      <c r="E289" s="21" t="s">
        <v>37</v>
      </c>
      <c r="F289" s="61">
        <v>500</v>
      </c>
      <c r="G289" s="2"/>
    </row>
    <row r="290" spans="1:7" ht="15.6" x14ac:dyDescent="0.3">
      <c r="B290" s="2"/>
      <c r="C290" s="2" t="s">
        <v>34</v>
      </c>
      <c r="D290" s="39"/>
      <c r="E290" s="21" t="s">
        <v>37</v>
      </c>
      <c r="F290" s="61">
        <v>2300</v>
      </c>
      <c r="G290" s="2"/>
    </row>
    <row r="291" spans="1:7" ht="15.6" x14ac:dyDescent="0.3">
      <c r="B291" s="2"/>
      <c r="C291" s="2"/>
      <c r="D291" s="39"/>
      <c r="E291" s="21"/>
      <c r="F291" s="61"/>
      <c r="G291" s="2"/>
    </row>
    <row r="292" spans="1:7" ht="15.6" x14ac:dyDescent="0.3">
      <c r="B292" s="2"/>
      <c r="C292" s="2" t="s">
        <v>35</v>
      </c>
      <c r="D292" s="39"/>
      <c r="E292" s="21" t="s">
        <v>37</v>
      </c>
      <c r="F292" s="61">
        <v>2800</v>
      </c>
      <c r="G292" s="2"/>
    </row>
    <row r="293" spans="1:7" ht="15.6" x14ac:dyDescent="0.3">
      <c r="B293" s="2"/>
      <c r="C293" s="2"/>
      <c r="D293" s="39"/>
      <c r="E293" s="21"/>
      <c r="F293" s="61"/>
      <c r="G293" s="2"/>
    </row>
    <row r="294" spans="1:7" ht="15.6" x14ac:dyDescent="0.3">
      <c r="B294" s="2"/>
      <c r="C294" s="55" t="s">
        <v>36</v>
      </c>
      <c r="D294" s="49"/>
      <c r="E294" s="21" t="s">
        <v>38</v>
      </c>
      <c r="F294" s="61">
        <v>365</v>
      </c>
      <c r="G294" s="2"/>
    </row>
    <row r="295" spans="1:7" ht="15.6" x14ac:dyDescent="0.3">
      <c r="B295" s="2"/>
      <c r="C295" s="55"/>
      <c r="D295" s="49"/>
      <c r="E295" s="21"/>
      <c r="F295" s="61"/>
      <c r="G295" s="2"/>
    </row>
    <row r="296" spans="1:7" ht="15.6" x14ac:dyDescent="0.3">
      <c r="B296" s="2"/>
      <c r="C296" s="2"/>
      <c r="D296" s="39"/>
      <c r="E296" s="21"/>
      <c r="F296" s="61"/>
      <c r="G296" s="2"/>
    </row>
    <row r="297" spans="1:7" ht="15.6" x14ac:dyDescent="0.3">
      <c r="C297" s="2" t="s">
        <v>39</v>
      </c>
      <c r="D297" s="39"/>
      <c r="E297" s="21" t="s">
        <v>37</v>
      </c>
      <c r="F297" s="73">
        <f>F292/F294</f>
        <v>7.6712328767123283</v>
      </c>
    </row>
    <row r="298" spans="1:7" ht="15.6" x14ac:dyDescent="0.3">
      <c r="A298" s="27">
        <v>5.6</v>
      </c>
    </row>
    <row r="299" spans="1:7" ht="15.6" x14ac:dyDescent="0.3">
      <c r="A299" s="27"/>
      <c r="B299" s="56" t="s">
        <v>50</v>
      </c>
      <c r="C299" s="56"/>
      <c r="D299" s="56"/>
      <c r="E299" s="56"/>
      <c r="F299" s="56"/>
      <c r="G299" s="56"/>
    </row>
    <row r="300" spans="1:7" x14ac:dyDescent="0.3">
      <c r="B300" s="56"/>
      <c r="C300" s="56"/>
      <c r="D300" s="56"/>
      <c r="E300" s="56"/>
      <c r="F300" s="56"/>
      <c r="G300" s="56"/>
    </row>
    <row r="302" spans="1:7" ht="31.2" x14ac:dyDescent="0.3">
      <c r="B302" s="4" t="s">
        <v>0</v>
      </c>
      <c r="C302" s="4" t="s">
        <v>1</v>
      </c>
      <c r="D302" s="26" t="s">
        <v>2</v>
      </c>
      <c r="E302" s="4" t="s">
        <v>3</v>
      </c>
      <c r="F302" s="64" t="s">
        <v>4</v>
      </c>
      <c r="G302" s="4" t="s">
        <v>5</v>
      </c>
    </row>
    <row r="303" spans="1:7" ht="15.6" x14ac:dyDescent="0.3">
      <c r="B303" s="5"/>
      <c r="C303" s="5"/>
      <c r="D303" s="41"/>
      <c r="E303" s="32"/>
      <c r="F303" s="65"/>
      <c r="G303" s="6"/>
    </row>
    <row r="304" spans="1:7" ht="15.6" x14ac:dyDescent="0.3">
      <c r="B304" s="7" t="s">
        <v>6</v>
      </c>
      <c r="C304" s="7" t="s">
        <v>7</v>
      </c>
      <c r="D304" s="42"/>
      <c r="E304" s="33"/>
      <c r="F304" s="66"/>
      <c r="G304" s="8"/>
    </row>
    <row r="305" spans="2:7" ht="15.6" x14ac:dyDescent="0.3">
      <c r="B305" s="9"/>
      <c r="C305" s="9" t="s">
        <v>46</v>
      </c>
      <c r="D305" s="43">
        <v>114.3</v>
      </c>
      <c r="E305" s="24" t="s">
        <v>48</v>
      </c>
      <c r="F305" s="67">
        <v>60</v>
      </c>
      <c r="G305" s="10">
        <f>D305*F305</f>
        <v>6858</v>
      </c>
    </row>
    <row r="306" spans="2:7" ht="15.6" x14ac:dyDescent="0.3">
      <c r="B306" s="9"/>
      <c r="C306" s="9" t="s">
        <v>47</v>
      </c>
      <c r="D306" s="43">
        <v>0.11</v>
      </c>
      <c r="E306" s="24" t="s">
        <v>45</v>
      </c>
      <c r="F306" s="67">
        <v>20000</v>
      </c>
      <c r="G306" s="10">
        <f>D306*F306</f>
        <v>2200</v>
      </c>
    </row>
    <row r="307" spans="2:7" ht="15.6" x14ac:dyDescent="0.3">
      <c r="B307" s="9"/>
      <c r="C307" s="9" t="s">
        <v>55</v>
      </c>
      <c r="D307" s="43">
        <v>0.66</v>
      </c>
      <c r="E307" s="24" t="s">
        <v>66</v>
      </c>
      <c r="F307" s="67">
        <v>1753.65</v>
      </c>
      <c r="G307" s="10">
        <f>D307*F307</f>
        <v>1157.4090000000001</v>
      </c>
    </row>
    <row r="308" spans="2:7" ht="15.6" x14ac:dyDescent="0.3">
      <c r="B308" s="9"/>
      <c r="C308" s="9" t="s">
        <v>49</v>
      </c>
      <c r="D308" s="43">
        <v>75.7</v>
      </c>
      <c r="E308" s="24" t="s">
        <v>65</v>
      </c>
      <c r="F308" s="67">
        <v>10</v>
      </c>
      <c r="G308" s="10">
        <f t="shared" ref="G308:G309" si="7">D308*F308</f>
        <v>757</v>
      </c>
    </row>
    <row r="309" spans="2:7" ht="15.6" x14ac:dyDescent="0.3">
      <c r="B309" s="9"/>
      <c r="C309" s="9"/>
      <c r="D309" s="43"/>
      <c r="E309" s="24"/>
      <c r="F309" s="67"/>
      <c r="G309" s="10">
        <f t="shared" si="7"/>
        <v>0</v>
      </c>
    </row>
    <row r="310" spans="2:7" ht="15.6" x14ac:dyDescent="0.3">
      <c r="B310" s="9"/>
      <c r="C310" s="9" t="s">
        <v>30</v>
      </c>
      <c r="D310" s="43"/>
      <c r="E310" s="24"/>
      <c r="F310" s="67"/>
      <c r="G310" s="10">
        <f>SUM(G305:G308)</f>
        <v>10972.409</v>
      </c>
    </row>
    <row r="311" spans="2:7" ht="15.6" x14ac:dyDescent="0.3">
      <c r="B311" s="9"/>
      <c r="C311" s="9" t="s">
        <v>31</v>
      </c>
      <c r="D311" s="43"/>
      <c r="E311" s="24"/>
      <c r="F311" s="67"/>
      <c r="G311" s="10">
        <f>G310/20</f>
        <v>548.62045000000001</v>
      </c>
    </row>
    <row r="312" spans="2:7" ht="16.2" thickBot="1" x14ac:dyDescent="0.35">
      <c r="B312" s="9"/>
      <c r="C312" s="9" t="s">
        <v>8</v>
      </c>
      <c r="D312" s="43"/>
      <c r="E312" s="24"/>
      <c r="F312" s="67"/>
      <c r="G312" s="23">
        <f>SUM(G310:G311)</f>
        <v>11521.02945</v>
      </c>
    </row>
    <row r="313" spans="2:7" ht="16.2" thickTop="1" x14ac:dyDescent="0.3">
      <c r="B313" s="9"/>
      <c r="C313" s="9"/>
      <c r="D313" s="43"/>
      <c r="E313" s="24"/>
      <c r="F313" s="67"/>
      <c r="G313" s="10"/>
    </row>
    <row r="314" spans="2:7" ht="15.6" x14ac:dyDescent="0.3">
      <c r="B314" s="11" t="s">
        <v>9</v>
      </c>
      <c r="C314" s="11" t="s">
        <v>10</v>
      </c>
      <c r="D314" s="44"/>
      <c r="E314" s="34"/>
      <c r="F314" s="68"/>
      <c r="G314" s="12"/>
    </row>
    <row r="315" spans="2:7" ht="15.6" x14ac:dyDescent="0.3">
      <c r="B315" s="9"/>
      <c r="C315" s="50" t="s">
        <v>51</v>
      </c>
      <c r="D315" s="39">
        <v>1.25</v>
      </c>
      <c r="E315" s="24" t="s">
        <v>23</v>
      </c>
      <c r="F315" s="67">
        <v>4000</v>
      </c>
      <c r="G315" s="10">
        <f>D315*F315</f>
        <v>5000</v>
      </c>
    </row>
    <row r="316" spans="2:7" ht="15.6" x14ac:dyDescent="0.3">
      <c r="B316" s="9"/>
      <c r="C316" s="50" t="s">
        <v>22</v>
      </c>
      <c r="D316" s="39">
        <v>2.5</v>
      </c>
      <c r="E316" s="24" t="s">
        <v>23</v>
      </c>
      <c r="F316" s="67">
        <v>2500</v>
      </c>
      <c r="G316" s="10">
        <f>D316*F316</f>
        <v>6250</v>
      </c>
    </row>
    <row r="317" spans="2:7" ht="15.6" x14ac:dyDescent="0.3">
      <c r="B317" s="9"/>
      <c r="C317" s="9"/>
      <c r="D317" s="43"/>
      <c r="E317" s="24"/>
      <c r="F317" s="67"/>
      <c r="G317" s="10"/>
    </row>
    <row r="318" spans="2:7" ht="16.2" thickBot="1" x14ac:dyDescent="0.35">
      <c r="B318" s="9"/>
      <c r="C318" s="9" t="s">
        <v>11</v>
      </c>
      <c r="D318" s="43"/>
      <c r="E318" s="24"/>
      <c r="F318" s="67"/>
      <c r="G318" s="23">
        <f>SUM(G315:G317)</f>
        <v>11250</v>
      </c>
    </row>
    <row r="319" spans="2:7" ht="16.2" thickTop="1" x14ac:dyDescent="0.3">
      <c r="B319" s="9"/>
      <c r="C319" s="9"/>
      <c r="D319" s="43"/>
      <c r="E319" s="24"/>
      <c r="F319" s="67"/>
      <c r="G319" s="10"/>
    </row>
    <row r="320" spans="2:7" ht="15.6" x14ac:dyDescent="0.3">
      <c r="B320" s="13" t="s">
        <v>12</v>
      </c>
      <c r="C320" s="13" t="s">
        <v>13</v>
      </c>
      <c r="D320" s="45"/>
      <c r="E320" s="35"/>
      <c r="F320" s="69"/>
      <c r="G320" s="14"/>
    </row>
    <row r="321" spans="2:7" ht="15.6" x14ac:dyDescent="0.3">
      <c r="B321" s="9"/>
      <c r="C321" s="9"/>
      <c r="D321" s="43"/>
      <c r="E321" s="24"/>
      <c r="F321" s="67"/>
      <c r="G321" s="10"/>
    </row>
    <row r="322" spans="2:7" ht="15.6" x14ac:dyDescent="0.3">
      <c r="B322" s="9"/>
      <c r="C322" s="25"/>
      <c r="D322" s="43"/>
      <c r="E322" s="24"/>
      <c r="F322" s="67"/>
      <c r="G322" s="10"/>
    </row>
    <row r="323" spans="2:7" ht="16.2" thickBot="1" x14ac:dyDescent="0.35">
      <c r="B323" s="9"/>
      <c r="C323" s="9" t="s">
        <v>14</v>
      </c>
      <c r="D323" s="43"/>
      <c r="E323" s="24"/>
      <c r="F323" s="67"/>
      <c r="G323" s="23">
        <f>SUM(G321:G322)</f>
        <v>0</v>
      </c>
    </row>
    <row r="324" spans="2:7" ht="16.2" thickTop="1" x14ac:dyDescent="0.3">
      <c r="B324" s="9"/>
      <c r="C324" s="9"/>
      <c r="D324" s="43"/>
      <c r="E324" s="24"/>
      <c r="F324" s="67"/>
      <c r="G324" s="10"/>
    </row>
    <row r="325" spans="2:7" ht="15.6" x14ac:dyDescent="0.3">
      <c r="B325" s="15" t="s">
        <v>15</v>
      </c>
      <c r="C325" s="15" t="s">
        <v>16</v>
      </c>
      <c r="D325" s="46"/>
      <c r="E325" s="36"/>
      <c r="F325" s="70"/>
      <c r="G325" s="16">
        <f>G318+G312</f>
        <v>22771.029450000002</v>
      </c>
    </row>
    <row r="326" spans="2:7" ht="15.6" x14ac:dyDescent="0.3">
      <c r="B326" s="9"/>
      <c r="C326" s="9"/>
      <c r="D326" s="43"/>
      <c r="E326" s="24"/>
      <c r="F326" s="67"/>
      <c r="G326" s="10"/>
    </row>
    <row r="327" spans="2:7" ht="15.6" x14ac:dyDescent="0.3">
      <c r="B327" s="9" t="s">
        <v>17</v>
      </c>
      <c r="C327" s="9" t="s">
        <v>32</v>
      </c>
      <c r="D327" s="43"/>
      <c r="E327" s="24"/>
      <c r="F327" s="67"/>
      <c r="G327" s="10">
        <f>G325/10</f>
        <v>2277.1029450000001</v>
      </c>
    </row>
    <row r="328" spans="2:7" ht="15.6" x14ac:dyDescent="0.3">
      <c r="B328" s="9"/>
      <c r="C328" s="9"/>
      <c r="D328" s="43"/>
      <c r="E328" s="24"/>
      <c r="F328" s="67"/>
      <c r="G328" s="10"/>
    </row>
    <row r="329" spans="2:7" ht="15.6" x14ac:dyDescent="0.3">
      <c r="B329" s="17" t="s">
        <v>18</v>
      </c>
      <c r="C329" s="17" t="s">
        <v>19</v>
      </c>
      <c r="D329" s="47"/>
      <c r="E329" s="37"/>
      <c r="F329" s="71"/>
      <c r="G329" s="53">
        <f>SUM(G325+G327)</f>
        <v>25048.132395000001</v>
      </c>
    </row>
    <row r="330" spans="2:7" ht="15.6" x14ac:dyDescent="0.3">
      <c r="B330" s="9"/>
      <c r="C330" s="9"/>
      <c r="D330" s="43"/>
      <c r="E330" s="24"/>
      <c r="F330" s="67"/>
      <c r="G330" s="10"/>
    </row>
    <row r="331" spans="2:7" ht="15.6" x14ac:dyDescent="0.3">
      <c r="B331" s="19"/>
      <c r="C331" s="19"/>
      <c r="D331" s="48"/>
      <c r="E331" s="38"/>
      <c r="F331" s="72"/>
      <c r="G331" s="20"/>
    </row>
    <row r="333" spans="2:7" ht="15.6" x14ac:dyDescent="0.3">
      <c r="B333" s="2"/>
      <c r="C333" s="27" t="s">
        <v>52</v>
      </c>
      <c r="D333" s="39"/>
      <c r="E333" s="21"/>
      <c r="F333" s="61"/>
      <c r="G333" s="2"/>
    </row>
    <row r="334" spans="2:7" ht="15.6" x14ac:dyDescent="0.3">
      <c r="B334" s="2"/>
      <c r="D334" s="39" t="s">
        <v>54</v>
      </c>
      <c r="E334" s="51"/>
      <c r="F334" s="61"/>
      <c r="G334" s="2" t="s">
        <v>63</v>
      </c>
    </row>
    <row r="335" spans="2:7" ht="15.6" x14ac:dyDescent="0.3">
      <c r="B335" s="2"/>
      <c r="C335" s="2" t="s">
        <v>53</v>
      </c>
      <c r="D335" s="54" t="s">
        <v>62</v>
      </c>
      <c r="E335" s="54"/>
      <c r="F335" s="61" t="s">
        <v>64</v>
      </c>
      <c r="G335" s="52">
        <v>175365</v>
      </c>
    </row>
    <row r="336" spans="2:7" ht="15.6" x14ac:dyDescent="0.3">
      <c r="B336" s="2"/>
      <c r="C336" s="2"/>
      <c r="D336" s="54"/>
      <c r="E336" s="54"/>
      <c r="F336" s="61"/>
      <c r="G336" s="52"/>
    </row>
    <row r="337" spans="2:7" ht="15.6" x14ac:dyDescent="0.3">
      <c r="B337" s="2"/>
      <c r="C337" s="2"/>
      <c r="D337" s="39"/>
      <c r="E337" s="39"/>
      <c r="F337" s="61"/>
      <c r="G337" s="52"/>
    </row>
    <row r="338" spans="2:7" ht="15.6" x14ac:dyDescent="0.3">
      <c r="B338" s="2"/>
      <c r="C338" s="2"/>
      <c r="D338" s="39"/>
      <c r="E338" s="21"/>
      <c r="F338" s="61"/>
      <c r="G338" s="2"/>
    </row>
    <row r="339" spans="2:7" ht="15.6" x14ac:dyDescent="0.3">
      <c r="B339" s="2"/>
      <c r="C339" s="2" t="s">
        <v>58</v>
      </c>
      <c r="D339" s="39"/>
      <c r="E339" s="39" t="s">
        <v>59</v>
      </c>
      <c r="F339" s="61">
        <v>3000</v>
      </c>
      <c r="G339" s="2"/>
    </row>
    <row r="340" spans="2:7" ht="15.6" x14ac:dyDescent="0.3">
      <c r="B340" s="2"/>
      <c r="C340" s="2" t="s">
        <v>60</v>
      </c>
      <c r="D340" s="39"/>
      <c r="E340" s="21" t="s">
        <v>59</v>
      </c>
      <c r="F340" s="75" t="s">
        <v>61</v>
      </c>
      <c r="G340" s="2"/>
    </row>
    <row r="341" spans="2:7" ht="15.6" x14ac:dyDescent="0.3">
      <c r="B341" s="2"/>
      <c r="C341" s="2"/>
      <c r="D341" s="39"/>
      <c r="E341" s="21" t="s">
        <v>59</v>
      </c>
      <c r="F341" s="61">
        <v>60</v>
      </c>
      <c r="G341" s="2"/>
    </row>
    <row r="342" spans="2:7" ht="15.6" x14ac:dyDescent="0.3">
      <c r="B342" s="2"/>
      <c r="C342" s="2"/>
      <c r="D342" s="39"/>
      <c r="E342" s="21"/>
      <c r="F342" s="61"/>
      <c r="G342" s="2"/>
    </row>
    <row r="343" spans="2:7" ht="15.6" x14ac:dyDescent="0.3">
      <c r="B343" s="2"/>
      <c r="C343" s="2"/>
      <c r="D343" s="39"/>
      <c r="E343" s="21"/>
      <c r="F343" s="61"/>
      <c r="G343" s="2"/>
    </row>
  </sheetData>
  <mergeCells count="17">
    <mergeCell ref="C65:C66"/>
    <mergeCell ref="B80:G82"/>
    <mergeCell ref="C103:C104"/>
    <mergeCell ref="B2:G2"/>
    <mergeCell ref="B3:G3"/>
    <mergeCell ref="B5:G5"/>
    <mergeCell ref="B7:G8"/>
    <mergeCell ref="C30:C31"/>
    <mergeCell ref="C89:C90"/>
    <mergeCell ref="D335:E335"/>
    <mergeCell ref="D336:E336"/>
    <mergeCell ref="C199:C200"/>
    <mergeCell ref="C245:C246"/>
    <mergeCell ref="C294:C295"/>
    <mergeCell ref="B204:G206"/>
    <mergeCell ref="B299:G300"/>
    <mergeCell ref="B250:G25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Navindu Dinelka</cp:lastModifiedBy>
  <dcterms:created xsi:type="dcterms:W3CDTF">2022-09-27T14:26:20Z</dcterms:created>
  <dcterms:modified xsi:type="dcterms:W3CDTF">2023-05-17T09:40:07Z</dcterms:modified>
</cp:coreProperties>
</file>